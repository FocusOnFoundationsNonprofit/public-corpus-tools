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A LoD-Preliminary" sheetId="1" r:id="rId4"/>
    <sheet state="visible" name="1B LoD-Confirmatory" sheetId="2" r:id="rId5"/>
    <sheet state="visible" name="Inclusivity - In Silico" sheetId="3" r:id="rId6"/>
    <sheet state="visible" name="3B Cross Reactivity - Wet Tests" sheetId="4" r:id="rId7"/>
    <sheet state="visible" name="3C Interfering Substances" sheetId="5" r:id="rId8"/>
    <sheet state="visible" name="4 Clinical Evaluation" sheetId="6" r:id="rId9"/>
  </sheets>
  <definedNames/>
  <calcPr/>
</workbook>
</file>

<file path=xl/sharedStrings.xml><?xml version="1.0" encoding="utf-8"?>
<sst xmlns="http://schemas.openxmlformats.org/spreadsheetml/2006/main" count="1199" uniqueCount="330">
  <si>
    <t>1A LoD - Preliminary</t>
  </si>
  <si>
    <t>Plate Map</t>
  </si>
  <si>
    <t>A Row</t>
  </si>
  <si>
    <t>B Row</t>
  </si>
  <si>
    <t>C Row</t>
  </si>
  <si>
    <t>D Row</t>
  </si>
  <si>
    <t>E Row</t>
  </si>
  <si>
    <t>F Row</t>
  </si>
  <si>
    <t>G Row</t>
  </si>
  <si>
    <t>H Row</t>
  </si>
  <si>
    <t>Neg Control</t>
  </si>
  <si>
    <t>Pos Control</t>
  </si>
  <si>
    <t>Line Item Data - Applied Biosystems QuantStudio 7 Pro</t>
  </si>
  <si>
    <t>Summary Data -  Applied Biosystems QuantStudio 7 Pro</t>
  </si>
  <si>
    <t>Concentration</t>
  </si>
  <si>
    <t>Replicate</t>
  </si>
  <si>
    <t>Ct Value</t>
  </si>
  <si>
    <t>Result</t>
  </si>
  <si>
    <t>Mean Ct</t>
  </si>
  <si>
    <t>SD CT</t>
  </si>
  <si>
    <t>Detected</t>
  </si>
  <si>
    <t>100,00 copies/mL</t>
  </si>
  <si>
    <t>POSITIVE</t>
  </si>
  <si>
    <t>100% (3/3)</t>
  </si>
  <si>
    <t>50,000 copies/mL</t>
  </si>
  <si>
    <t>25,000 copies/mL</t>
  </si>
  <si>
    <t>12,500 copies/mL</t>
  </si>
  <si>
    <t>66% (2/3)</t>
  </si>
  <si>
    <t>6,250 copies/mL</t>
  </si>
  <si>
    <t>n/a</t>
  </si>
  <si>
    <t>33% (1/3)</t>
  </si>
  <si>
    <t>3,125 copies/mL</t>
  </si>
  <si>
    <t>Undetermined</t>
  </si>
  <si>
    <t>NEGATIVE</t>
  </si>
  <si>
    <t>0 copies/mL</t>
  </si>
  <si>
    <t>Negative Control</t>
  </si>
  <si>
    <t>Positive Control</t>
  </si>
  <si>
    <t>1A LoD - Confirmatory</t>
  </si>
  <si>
    <t>Ct Mean</t>
  </si>
  <si>
    <t>SD Ct</t>
  </si>
  <si>
    <t>95% (20/21)</t>
  </si>
  <si>
    <t xml:space="preserve"> 76% (16/21)</t>
  </si>
  <si>
    <t>38% (8/21)</t>
  </si>
  <si>
    <t>2 Inclusivity (Analytical Sensitivity) - In Silico</t>
  </si>
  <si>
    <t>All complete, high coverage SARS-CoV-2 sequences deposited at GISAID as of 2/27/2021</t>
  </si>
  <si>
    <t>Primer</t>
  </si>
  <si>
    <t>AS1e (ORF1ab gene)</t>
  </si>
  <si>
    <t>N2 (N gene)</t>
  </si>
  <si>
    <t>E1 (E gene)</t>
  </si>
  <si>
    <t>Total Primer Length</t>
  </si>
  <si>
    <t>Total Number of Strains Evaluated</t>
  </si>
  <si>
    <t>100% Match</t>
  </si>
  <si>
    <t>1 Mismatch</t>
  </si>
  <si>
    <t>2 Mismatches</t>
  </si>
  <si>
    <t>3 Mismatches</t>
  </si>
  <si>
    <t>&gt; 3 Mismatches</t>
  </si>
  <si>
    <t>Total Strains Removed</t>
  </si>
  <si>
    <t>Removed_4+N</t>
  </si>
  <si>
    <t>Removed_2to4N</t>
  </si>
  <si>
    <t>Removed_1N</t>
  </si>
  <si>
    <t>3B Cross Reactivity (Analytical Specifity) - Wet Tests</t>
  </si>
  <si>
    <t>Specimen ID</t>
  </si>
  <si>
    <t>S82</t>
  </si>
  <si>
    <t>H21</t>
  </si>
  <si>
    <t>M22</t>
  </si>
  <si>
    <t>R76</t>
  </si>
  <si>
    <t>I48</t>
  </si>
  <si>
    <t>Sample Info</t>
  </si>
  <si>
    <t>Item Number</t>
  </si>
  <si>
    <t>Organism</t>
  </si>
  <si>
    <t>Description</t>
  </si>
  <si>
    <t>Strain</t>
  </si>
  <si>
    <t>Batch No</t>
  </si>
  <si>
    <t>NR-3882</t>
  </si>
  <si>
    <t>SARS-CoV</t>
  </si>
  <si>
    <t>UV-inactivated virus</t>
  </si>
  <si>
    <t>N/A</t>
  </si>
  <si>
    <t>480405CA</t>
  </si>
  <si>
    <t>NR-49122</t>
  </si>
  <si>
    <t>Human Metapneumovirus</t>
  </si>
  <si>
    <t>Genomic RNA from NR-22227</t>
  </si>
  <si>
    <t>TN/83-1211</t>
  </si>
  <si>
    <t>NR-43976</t>
  </si>
  <si>
    <t>RSV</t>
  </si>
  <si>
    <t>Genomic RNA from NR-28527</t>
  </si>
  <si>
    <t>A1997/12-35</t>
  </si>
  <si>
    <t>NR-45848</t>
  </si>
  <si>
    <t>Influenza B</t>
  </si>
  <si>
    <t>Genomic RNA from NR-44023</t>
  </si>
  <si>
    <t>Nevada/03/2011</t>
  </si>
  <si>
    <t>HM-121</t>
  </si>
  <si>
    <t>Streptococcus salivarius</t>
  </si>
  <si>
    <t>Bacterial cell culture</t>
  </si>
  <si>
    <t>SK126</t>
  </si>
  <si>
    <t>Detected Replicates</t>
  </si>
  <si>
    <t>0/3</t>
  </si>
  <si>
    <t>3C Interfering Substances</t>
  </si>
  <si>
    <t>INF1*</t>
  </si>
  <si>
    <t>INF1</t>
  </si>
  <si>
    <t>INF3*</t>
  </si>
  <si>
    <t>INF3</t>
  </si>
  <si>
    <t>INF4*</t>
  </si>
  <si>
    <t>INF4</t>
  </si>
  <si>
    <t>INF9*</t>
  </si>
  <si>
    <t>INF9</t>
  </si>
  <si>
    <t>INF10*</t>
  </si>
  <si>
    <t>INF10</t>
  </si>
  <si>
    <t>NOINF*</t>
  </si>
  <si>
    <t>Pos Control*</t>
  </si>
  <si>
    <t>Interferring
Substance</t>
  </si>
  <si>
    <t>Active Ingredient</t>
  </si>
  <si>
    <t>Positive Control Spiked</t>
  </si>
  <si>
    <t>Negative Control Unspiked</t>
  </si>
  <si>
    <t>% Agreement with Expected Results</t>
  </si>
  <si>
    <t>Positive Control
Spiked</t>
  </si>
  <si>
    <t>Negative Control
Unspiked</t>
  </si>
  <si>
    <t>Blood</t>
  </si>
  <si>
    <t>1% v/v</t>
  </si>
  <si>
    <t>INF2</t>
  </si>
  <si>
    <t>Nasal Congestion
 Spray</t>
  </si>
  <si>
    <t>Acetaminophen,
 Guaifenesin,
Phenylephrine HCI</t>
  </si>
  <si>
    <t>20% v/v</t>
  </si>
  <si>
    <t>Nasal Allergy 
Spray</t>
  </si>
  <si>
    <t>Oxymetazoline HCl</t>
  </si>
  <si>
    <t>15% v/v</t>
  </si>
  <si>
    <t>Lozenges</t>
  </si>
  <si>
    <t>Menthol</t>
  </si>
  <si>
    <t>10% w/v</t>
  </si>
  <si>
    <t>INF5</t>
  </si>
  <si>
    <t>Mucin</t>
  </si>
  <si>
    <t>0.5% w/v</t>
  </si>
  <si>
    <t>Spiked?</t>
  </si>
  <si>
    <t>Spiked</t>
  </si>
  <si>
    <t>Unspiked</t>
  </si>
  <si>
    <t>INF2*</t>
  </si>
  <si>
    <t>Nasal Allergy
 Spray</t>
  </si>
  <si>
    <t>INF5*</t>
  </si>
  <si>
    <t>INFNONE*</t>
  </si>
  <si>
    <t>None</t>
  </si>
  <si>
    <t>INFNONE</t>
  </si>
  <si>
    <t>Positive Control*</t>
  </si>
  <si>
    <t>4 Clinical Evaluation</t>
  </si>
  <si>
    <t>ST01</t>
  </si>
  <si>
    <t>ST09</t>
  </si>
  <si>
    <t>ST17</t>
  </si>
  <si>
    <t>ST25</t>
  </si>
  <si>
    <t>ST33</t>
  </si>
  <si>
    <t>ST41</t>
  </si>
  <si>
    <t>ST49</t>
  </si>
  <si>
    <t>ST57</t>
  </si>
  <si>
    <t>ST65</t>
  </si>
  <si>
    <t>ST73</t>
  </si>
  <si>
    <t>ST02</t>
  </si>
  <si>
    <t>ST10</t>
  </si>
  <si>
    <t>ST18</t>
  </si>
  <si>
    <t>ST26</t>
  </si>
  <si>
    <t>ST34</t>
  </si>
  <si>
    <t>ST42</t>
  </si>
  <si>
    <t>ST50</t>
  </si>
  <si>
    <t>ST58</t>
  </si>
  <si>
    <t>ST66</t>
  </si>
  <si>
    <t>ST74</t>
  </si>
  <si>
    <t>ST03</t>
  </si>
  <si>
    <t>ST11</t>
  </si>
  <si>
    <t>ST19</t>
  </si>
  <si>
    <t>ST27</t>
  </si>
  <si>
    <t>ST35</t>
  </si>
  <si>
    <t>ST43</t>
  </si>
  <si>
    <t>ST51</t>
  </si>
  <si>
    <t>ST59</t>
  </si>
  <si>
    <t>ST67</t>
  </si>
  <si>
    <t>ST75</t>
  </si>
  <si>
    <t>ST04</t>
  </si>
  <si>
    <t>ST12</t>
  </si>
  <si>
    <t>ST20</t>
  </si>
  <si>
    <t>ST28</t>
  </si>
  <si>
    <t>ST36</t>
  </si>
  <si>
    <t>ST44</t>
  </si>
  <si>
    <t>ST52</t>
  </si>
  <si>
    <t>ST60</t>
  </si>
  <si>
    <t>ST68</t>
  </si>
  <si>
    <t>ST76</t>
  </si>
  <si>
    <t>ST05</t>
  </si>
  <si>
    <t>ST13</t>
  </si>
  <si>
    <t>ST21</t>
  </si>
  <si>
    <t>ST29</t>
  </si>
  <si>
    <t>ST37</t>
  </si>
  <si>
    <t>ST45</t>
  </si>
  <si>
    <t>ST53</t>
  </si>
  <si>
    <t>ST61</t>
  </si>
  <si>
    <t>ST69</t>
  </si>
  <si>
    <t>ST77</t>
  </si>
  <si>
    <t>ST06</t>
  </si>
  <si>
    <t>ST14</t>
  </si>
  <si>
    <t>ST22</t>
  </si>
  <si>
    <t>ST30</t>
  </si>
  <si>
    <t>ST38</t>
  </si>
  <si>
    <t>ST46</t>
  </si>
  <si>
    <t>ST54</t>
  </si>
  <si>
    <t>ST62</t>
  </si>
  <si>
    <t>ST70</t>
  </si>
  <si>
    <t>ST78</t>
  </si>
  <si>
    <t>ST07</t>
  </si>
  <si>
    <t>ST15</t>
  </si>
  <si>
    <t>ST23</t>
  </si>
  <si>
    <t>ST31</t>
  </si>
  <si>
    <t>ST39</t>
  </si>
  <si>
    <t>ST47</t>
  </si>
  <si>
    <t>ST55</t>
  </si>
  <si>
    <t>ST63</t>
  </si>
  <si>
    <t>ST71</t>
  </si>
  <si>
    <t>ST79</t>
  </si>
  <si>
    <t>ST08</t>
  </si>
  <si>
    <t>ST16</t>
  </si>
  <si>
    <t>ST24</t>
  </si>
  <si>
    <t>ST32</t>
  </si>
  <si>
    <t>ST40</t>
  </si>
  <si>
    <t>ST48</t>
  </si>
  <si>
    <t>ST56</t>
  </si>
  <si>
    <t>ST64</t>
  </si>
  <si>
    <t>ST72</t>
  </si>
  <si>
    <t>ST80</t>
  </si>
  <si>
    <t xml:space="preserve">Summary Data </t>
  </si>
  <si>
    <t>FloodLAMP QuickFluor Result</t>
  </si>
  <si>
    <t>Comparator Positive</t>
  </si>
  <si>
    <t>Comparator Negative</t>
  </si>
  <si>
    <t>Total</t>
  </si>
  <si>
    <t>Positive</t>
  </si>
  <si>
    <t>Negative</t>
  </si>
  <si>
    <t>Positive Agreement</t>
  </si>
  <si>
    <t>85.0% (34/40) 95% CI: 70.2% to 94.3%</t>
  </si>
  <si>
    <t>Negative Agreement</t>
  </si>
  <si>
    <t>100% (40/40) 95% CI: 91.2% to 100%</t>
  </si>
  <si>
    <t>Source of Specimens: Stanford COVID-19 Clinical Testing Program</t>
  </si>
  <si>
    <t>Specimen Type: Anterior Nares Swab in PBS, previously tested and frozen</t>
  </si>
  <si>
    <t>Comparator Test: Hologic Panther Fusion SARS-CoV-2 Assay and Hologic Panther Aptima SARS-CoV-2 Assay</t>
  </si>
  <si>
    <t xml:space="preserve">Line Item Data </t>
  </si>
  <si>
    <t>Comparator - Hologic Panther</t>
  </si>
  <si>
    <t>FloodLAMP QuickFluor Test - Bio-Rad CFX96</t>
  </si>
  <si>
    <t>Well</t>
  </si>
  <si>
    <t>Comparator Test Date</t>
  </si>
  <si>
    <t>Comparator Test Assay</t>
  </si>
  <si>
    <t>Comparator Ct</t>
  </si>
  <si>
    <t>Comparator Result</t>
  </si>
  <si>
    <t>SARS Ct</t>
  </si>
  <si>
    <t>D01</t>
  </si>
  <si>
    <t>Panther Fusion</t>
  </si>
  <si>
    <t>C05</t>
  </si>
  <si>
    <t>H07</t>
  </si>
  <si>
    <t>G03</t>
  </si>
  <si>
    <t>C04</t>
  </si>
  <si>
    <t>E09</t>
  </si>
  <si>
    <t>F02</t>
  </si>
  <si>
    <t>B02</t>
  </si>
  <si>
    <t>E07</t>
  </si>
  <si>
    <t>D08</t>
  </si>
  <si>
    <t>A04</t>
  </si>
  <si>
    <t>F03</t>
  </si>
  <si>
    <t>G02</t>
  </si>
  <si>
    <t>B03</t>
  </si>
  <si>
    <t>H03</t>
  </si>
  <si>
    <t>E06</t>
  </si>
  <si>
    <t>G08</t>
  </si>
  <si>
    <t>D07</t>
  </si>
  <si>
    <t>H06</t>
  </si>
  <si>
    <t>E04</t>
  </si>
  <si>
    <t>B09</t>
  </si>
  <si>
    <t>F01</t>
  </si>
  <si>
    <t>F05</t>
  </si>
  <si>
    <t>F04</t>
  </si>
  <si>
    <t>D10</t>
  </si>
  <si>
    <t>G07</t>
  </si>
  <si>
    <t>D03</t>
  </si>
  <si>
    <t>Und</t>
  </si>
  <si>
    <t>H10</t>
  </si>
  <si>
    <t>H08</t>
  </si>
  <si>
    <t>H09</t>
  </si>
  <si>
    <t>B10</t>
  </si>
  <si>
    <t>G06</t>
  </si>
  <si>
    <t>A09</t>
  </si>
  <si>
    <t>D02</t>
  </si>
  <si>
    <t>B05</t>
  </si>
  <si>
    <t>F06</t>
  </si>
  <si>
    <t>C02</t>
  </si>
  <si>
    <t>C07</t>
  </si>
  <si>
    <t>G10</t>
  </si>
  <si>
    <t>D05</t>
  </si>
  <si>
    <t>A01</t>
  </si>
  <si>
    <t>Panther Aptima</t>
  </si>
  <si>
    <t>B01</t>
  </si>
  <si>
    <t>C01</t>
  </si>
  <si>
    <t>E01</t>
  </si>
  <si>
    <t>G01</t>
  </si>
  <si>
    <t>H01</t>
  </si>
  <si>
    <t>A02</t>
  </si>
  <si>
    <t>E02</t>
  </si>
  <si>
    <t>H02</t>
  </si>
  <si>
    <t>A03</t>
  </si>
  <si>
    <t>C03</t>
  </si>
  <si>
    <t>E03</t>
  </si>
  <si>
    <t>B04</t>
  </si>
  <si>
    <t>D04</t>
  </si>
  <si>
    <t>G04</t>
  </si>
  <si>
    <t>H04</t>
  </si>
  <si>
    <t>A05</t>
  </si>
  <si>
    <t>E05</t>
  </si>
  <si>
    <t>G05</t>
  </si>
  <si>
    <t>H05</t>
  </si>
  <si>
    <t>A06</t>
  </si>
  <si>
    <t>B06</t>
  </si>
  <si>
    <t>C06</t>
  </si>
  <si>
    <t>D06</t>
  </si>
  <si>
    <t>A07</t>
  </si>
  <si>
    <t>B07</t>
  </si>
  <si>
    <t>F07</t>
  </si>
  <si>
    <t>A08</t>
  </si>
  <si>
    <t>B08</t>
  </si>
  <si>
    <t>C08</t>
  </si>
  <si>
    <t>E08</t>
  </si>
  <si>
    <t>F08</t>
  </si>
  <si>
    <t>C09</t>
  </si>
  <si>
    <t>D09</t>
  </si>
  <si>
    <t>F09</t>
  </si>
  <si>
    <t>G09</t>
  </si>
  <si>
    <t>A10</t>
  </si>
  <si>
    <t>C10</t>
  </si>
  <si>
    <t>E10</t>
  </si>
  <si>
    <t>F10</t>
  </si>
  <si>
    <t>B11</t>
  </si>
  <si>
    <t>A11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</si>
</sst>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%"/>
    <numFmt numFmtId="166" formatCode="m/d/yyyy"/>
  </numFmts>
  <fonts count="16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1.0"/>
      <color theme="1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color theme="1"/>
      <name val="Arial"/>
    </font>
    <font>
      <sz val="11.0"/>
      <color rgb="FFFFFFFF"/>
      <name val="Arial"/>
      <scheme val="minor"/>
    </font>
    <font>
      <sz val="11.0"/>
      <color rgb="FFFFFFFF"/>
      <name val="Arial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/>
    <font>
      <b/>
      <sz val="14.0"/>
      <color rgb="FF222222"/>
      <name val="Arial"/>
    </font>
    <font>
      <sz val="12.0"/>
      <color theme="1"/>
      <name val="Arial"/>
    </font>
    <font>
      <b/>
      <sz val="14.0"/>
      <color rgb="FF222222"/>
      <name val="&quot;Google Sans&quot;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vertical="bottom"/>
    </xf>
    <xf borderId="1" fillId="0" fontId="4" numFmtId="1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3" numFmtId="3" xfId="0" applyAlignment="1" applyBorder="1" applyFont="1" applyNumberFormat="1">
      <alignment horizontal="center" readingOrder="0" vertical="bottom"/>
    </xf>
    <xf borderId="1" fillId="0" fontId="3" numFmtId="164" xfId="0" applyAlignment="1" applyBorder="1" applyFont="1" applyNumberForma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3" numFmtId="1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center" readingOrder="0" vertical="bottom"/>
    </xf>
    <xf borderId="2" fillId="0" fontId="3" numFmtId="0" xfId="0" applyAlignment="1" applyBorder="1" applyFont="1">
      <alignment readingOrder="0" vertical="bottom"/>
    </xf>
    <xf borderId="2" fillId="0" fontId="5" numFmtId="0" xfId="0" applyAlignment="1" applyBorder="1" applyFont="1">
      <alignment vertical="bottom"/>
    </xf>
    <xf borderId="1" fillId="2" fontId="6" numFmtId="0" xfId="0" applyAlignment="1" applyBorder="1" applyFill="1" applyFont="1">
      <alignment vertical="bottom"/>
    </xf>
    <xf borderId="1" fillId="2" fontId="6" numFmtId="0" xfId="0" applyAlignment="1" applyBorder="1" applyFont="1">
      <alignment horizontal="center" vertical="bottom"/>
    </xf>
    <xf borderId="1" fillId="2" fontId="6" numFmtId="0" xfId="0" applyAlignment="1" applyBorder="1" applyFont="1">
      <alignment horizontal="center" readingOrder="0" vertical="bottom"/>
    </xf>
    <xf borderId="1" fillId="2" fontId="7" numFmtId="0" xfId="0" applyAlignment="1" applyBorder="1" applyFont="1">
      <alignment horizontal="center" vertical="bottom"/>
    </xf>
    <xf borderId="3" fillId="0" fontId="6" numFmtId="0" xfId="0" applyAlignment="1" applyBorder="1" applyFont="1">
      <alignment vertical="bottom"/>
    </xf>
    <xf borderId="4" fillId="2" fontId="7" numFmtId="0" xfId="0" applyAlignment="1" applyBorder="1" applyFont="1">
      <alignment vertical="bottom"/>
    </xf>
    <xf borderId="4" fillId="2" fontId="7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 vertical="bottom"/>
    </xf>
    <xf borderId="1" fillId="0" fontId="2" numFmtId="164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readingOrder="0" vertical="bottom"/>
    </xf>
    <xf borderId="4" fillId="0" fontId="3" numFmtId="0" xfId="0" applyAlignment="1" applyBorder="1" applyFont="1">
      <alignment vertical="bottom"/>
    </xf>
    <xf borderId="4" fillId="0" fontId="3" numFmtId="164" xfId="0" applyAlignment="1" applyBorder="1" applyFont="1" applyNumberFormat="1">
      <alignment horizontal="center" vertical="bottom"/>
    </xf>
    <xf borderId="5" fillId="0" fontId="3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4" fillId="0" fontId="3" numFmtId="164" xfId="0" applyAlignment="1" applyBorder="1" applyFont="1" applyNumberFormat="1">
      <alignment horizontal="center" readingOrder="0" vertical="bottom"/>
    </xf>
    <xf borderId="3" fillId="0" fontId="3" numFmtId="0" xfId="0" applyAlignment="1" applyBorder="1" applyFont="1">
      <alignment vertical="bottom"/>
    </xf>
    <xf borderId="3" fillId="0" fontId="3" numFmtId="164" xfId="0" applyAlignment="1" applyBorder="1" applyFont="1" applyNumberFormat="1">
      <alignment horizontal="center" readingOrder="0" vertical="bottom"/>
    </xf>
    <xf borderId="3" fillId="0" fontId="3" numFmtId="164" xfId="0" applyAlignment="1" applyBorder="1" applyFont="1" applyNumberFormat="1">
      <alignment horizontal="center" vertical="bottom"/>
    </xf>
    <xf borderId="0" fillId="0" fontId="2" numFmtId="0" xfId="0" applyAlignment="1" applyFont="1">
      <alignment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readingOrder="0" vertical="bottom"/>
    </xf>
    <xf borderId="6" fillId="0" fontId="3" numFmtId="164" xfId="0" applyAlignment="1" applyBorder="1" applyFont="1" applyNumberFormat="1">
      <alignment horizontal="center" vertical="bottom"/>
    </xf>
    <xf borderId="6" fillId="0" fontId="3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readingOrder="0"/>
    </xf>
    <xf borderId="0" fillId="0" fontId="4" numFmtId="1" xfId="0" applyAlignment="1" applyFont="1" applyNumberFormat="1">
      <alignment horizontal="center" vertical="bottom"/>
    </xf>
    <xf borderId="0" fillId="0" fontId="3" numFmtId="3" xfId="0" applyAlignment="1" applyFont="1" applyNumberFormat="1">
      <alignment horizontal="center" readingOrder="0" vertical="bottom"/>
    </xf>
    <xf borderId="1" fillId="0" fontId="3" numFmtId="1" xfId="0" applyAlignment="1" applyBorder="1" applyFont="1" applyNumberFormat="1">
      <alignment horizontal="center" vertical="bottom"/>
    </xf>
    <xf borderId="1" fillId="0" fontId="3" numFmtId="1" xfId="0" applyAlignment="1" applyBorder="1" applyFont="1" applyNumberFormat="1">
      <alignment horizontal="center" readingOrder="0" vertical="bottom"/>
    </xf>
    <xf borderId="0" fillId="0" fontId="6" numFmtId="0" xfId="0" applyAlignment="1" applyFont="1">
      <alignment vertical="bottom"/>
    </xf>
    <xf borderId="5" fillId="2" fontId="7" numFmtId="0" xfId="0" applyAlignment="1" applyBorder="1" applyFont="1">
      <alignment vertical="bottom"/>
    </xf>
    <xf borderId="1" fillId="2" fontId="7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5" fillId="0" fontId="3" numFmtId="164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7" fillId="0" fontId="3" numFmtId="0" xfId="0" applyAlignment="1" applyBorder="1" applyFont="1">
      <alignment readingOrder="0" vertical="bottom"/>
    </xf>
    <xf borderId="7" fillId="0" fontId="3" numFmtId="164" xfId="0" applyAlignment="1" applyBorder="1" applyFont="1" applyNumberFormat="1">
      <alignment horizontal="center" vertical="bottom"/>
    </xf>
    <xf borderId="7" fillId="0" fontId="3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vertical="bottom"/>
    </xf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1" fillId="0" fontId="3" numFmtId="0" xfId="0" applyAlignment="1" applyBorder="1" applyFont="1">
      <alignment readingOrder="0" vertical="bottom"/>
    </xf>
    <xf borderId="8" fillId="0" fontId="3" numFmtId="0" xfId="0" applyAlignment="1" applyBorder="1" applyFont="1">
      <alignment horizontal="center" vertical="bottom"/>
    </xf>
    <xf borderId="1" fillId="0" fontId="2" numFmtId="164" xfId="0" applyAlignment="1" applyBorder="1" applyFont="1" applyNumberFormat="1">
      <alignment horizontal="center" vertical="bottom"/>
    </xf>
    <xf borderId="5" fillId="0" fontId="5" numFmtId="0" xfId="0" applyAlignment="1" applyBorder="1" applyFont="1">
      <alignment vertical="bottom"/>
    </xf>
    <xf borderId="4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center" readingOrder="0" vertical="bottom"/>
    </xf>
    <xf borderId="1" fillId="0" fontId="2" numFmtId="0" xfId="0" applyBorder="1" applyFont="1"/>
    <xf borderId="1" fillId="0" fontId="9" numFmtId="0" xfId="0" applyBorder="1" applyFont="1"/>
    <xf borderId="1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0" fillId="0" fontId="9" numFmtId="0" xfId="0" applyAlignment="1" applyFont="1">
      <alignment readingOrder="0"/>
    </xf>
    <xf borderId="1" fillId="3" fontId="10" numFmtId="0" xfId="0" applyAlignment="1" applyBorder="1" applyFill="1" applyFont="1">
      <alignment readingOrder="0"/>
    </xf>
    <xf borderId="9" fillId="3" fontId="10" numFmtId="0" xfId="0" applyAlignment="1" applyBorder="1" applyFont="1">
      <alignment horizontal="center" readingOrder="0"/>
    </xf>
    <xf borderId="8" fillId="0" fontId="11" numFmtId="0" xfId="0" applyBorder="1" applyFont="1"/>
    <xf borderId="9" fillId="0" fontId="9" numFmtId="0" xfId="0" applyAlignment="1" applyBorder="1" applyFont="1">
      <alignment horizontal="center" readingOrder="0"/>
    </xf>
    <xf borderId="1" fillId="0" fontId="9" numFmtId="3" xfId="0" applyAlignment="1" applyBorder="1" applyFont="1" applyNumberFormat="1">
      <alignment readingOrder="0"/>
    </xf>
    <xf borderId="1" fillId="0" fontId="9" numFmtId="165" xfId="0" applyBorder="1" applyFont="1" applyNumberFormat="1"/>
    <xf borderId="1" fillId="0" fontId="9" numFmtId="3" xfId="0" applyAlignment="1" applyBorder="1" applyFont="1" applyNumberFormat="1">
      <alignment horizontal="right" readingOrder="0"/>
    </xf>
    <xf borderId="0" fillId="4" fontId="12" numFmtId="0" xfId="0" applyAlignment="1" applyFill="1" applyFont="1">
      <alignment readingOrder="0"/>
    </xf>
    <xf borderId="2" fillId="0" fontId="3" numFmtId="0" xfId="0" applyAlignment="1" applyBorder="1" applyFont="1">
      <alignment vertical="bottom"/>
    </xf>
    <xf borderId="1" fillId="2" fontId="6" numFmtId="0" xfId="0" applyAlignment="1" applyBorder="1" applyFont="1">
      <alignment readingOrder="0" vertical="bottom"/>
    </xf>
    <xf borderId="4" fillId="0" fontId="5" numFmtId="1" xfId="0" applyAlignment="1" applyBorder="1" applyFont="1" applyNumberFormat="1">
      <alignment vertical="bottom"/>
    </xf>
    <xf borderId="4" fillId="0" fontId="4" numFmtId="1" xfId="0" applyAlignment="1" applyBorder="1" applyFont="1" applyNumberFormat="1">
      <alignment horizontal="center" readingOrder="0" vertical="bottom"/>
    </xf>
    <xf borderId="1" fillId="0" fontId="4" numFmtId="1" xfId="0" applyAlignment="1" applyBorder="1" applyFont="1" applyNumberFormat="1">
      <alignment horizontal="center" readingOrder="0" vertical="bottom"/>
    </xf>
    <xf borderId="4" fillId="0" fontId="4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vertical="bottom"/>
    </xf>
    <xf borderId="4" fillId="0" fontId="4" numFmtId="164" xfId="0" applyAlignment="1" applyBorder="1" applyFont="1" applyNumberFormat="1">
      <alignment horizontal="center" readingOrder="0" vertical="bottom"/>
    </xf>
    <xf borderId="1" fillId="0" fontId="4" numFmtId="164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left" vertical="bottom"/>
    </xf>
    <xf borderId="2" fillId="0" fontId="2" numFmtId="0" xfId="0" applyAlignment="1" applyBorder="1" applyFont="1">
      <alignment horizontal="center" readingOrder="0"/>
    </xf>
    <xf borderId="2" fillId="0" fontId="11" numFmtId="0" xfId="0" applyBorder="1" applyFont="1"/>
    <xf borderId="5" fillId="0" fontId="4" numFmtId="1" xfId="0" applyAlignment="1" applyBorder="1" applyFont="1" applyNumberFormat="1">
      <alignment horizontal="center" vertical="bottom"/>
    </xf>
    <xf borderId="7" fillId="0" fontId="4" numFmtId="1" xfId="0" applyAlignment="1" applyBorder="1" applyFont="1" applyNumberFormat="1">
      <alignment horizontal="center" vertical="bottom"/>
    </xf>
    <xf borderId="0" fillId="0" fontId="5" numFmtId="0" xfId="0" applyAlignment="1" applyFont="1">
      <alignment horizontal="center" vertical="bottom"/>
    </xf>
    <xf borderId="10" fillId="0" fontId="4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 vertical="bottom"/>
    </xf>
    <xf borderId="6" fillId="4" fontId="13" numFmtId="164" xfId="0" applyAlignment="1" applyBorder="1" applyFont="1" applyNumberFormat="1">
      <alignment horizontal="center" vertical="bottom"/>
    </xf>
    <xf borderId="6" fillId="0" fontId="13" numFmtId="164" xfId="0" applyAlignment="1" applyBorder="1" applyFont="1" applyNumberFormat="1">
      <alignment horizontal="center" vertical="bottom"/>
    </xf>
    <xf borderId="0" fillId="0" fontId="2" numFmtId="0" xfId="0" applyAlignment="1" applyFont="1">
      <alignment horizontal="left" vertical="bottom"/>
    </xf>
    <xf borderId="11" fillId="2" fontId="6" numFmtId="0" xfId="0" applyAlignment="1" applyBorder="1" applyFont="1">
      <alignment horizontal="center" readingOrder="0" vertical="bottom"/>
    </xf>
    <xf borderId="11" fillId="2" fontId="6" numFmtId="0" xfId="0" applyAlignment="1" applyBorder="1" applyFont="1">
      <alignment horizontal="center" vertical="bottom"/>
    </xf>
    <xf borderId="0" fillId="2" fontId="7" numFmtId="0" xfId="0" applyAlignment="1" applyFont="1">
      <alignment horizontal="center" readingOrder="0" vertical="bottom"/>
    </xf>
    <xf borderId="9" fillId="2" fontId="7" numFmtId="0" xfId="0" applyAlignment="1" applyBorder="1" applyFont="1">
      <alignment horizontal="center" readingOrder="0" vertical="bottom"/>
    </xf>
    <xf borderId="12" fillId="2" fontId="7" numFmtId="0" xfId="0" applyAlignment="1" applyBorder="1" applyFont="1">
      <alignment horizontal="center" vertical="bottom"/>
    </xf>
    <xf borderId="4" fillId="0" fontId="11" numFmtId="0" xfId="0" applyBorder="1" applyFont="1"/>
    <xf borderId="1" fillId="2" fontId="7" numFmtId="0" xfId="0" applyAlignment="1" applyBorder="1" applyFont="1">
      <alignment horizontal="center" vertical="bottom"/>
    </xf>
    <xf borderId="5" fillId="2" fontId="7" numFmtId="0" xfId="0" applyAlignment="1" applyBorder="1" applyFont="1">
      <alignment horizontal="center" vertical="bottom"/>
    </xf>
    <xf borderId="4" fillId="2" fontId="7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0" fillId="2" fontId="6" numFmtId="0" xfId="0" applyAlignment="1" applyFont="1">
      <alignment horizontal="center" readingOrder="0" vertical="bottom"/>
    </xf>
    <xf borderId="1" fillId="2" fontId="6" numFmtId="0" xfId="0" applyAlignment="1" applyBorder="1" applyFont="1">
      <alignment horizontal="center" readingOrder="0" vertical="bottom"/>
    </xf>
    <xf borderId="10" fillId="0" fontId="9" numFmtId="0" xfId="0" applyBorder="1" applyFont="1"/>
    <xf borderId="10" fillId="0" fontId="2" numFmtId="0" xfId="0" applyAlignment="1" applyBorder="1" applyFont="1">
      <alignment horizontal="center" vertical="bottom"/>
    </xf>
    <xf borderId="10" fillId="0" fontId="2" numFmtId="0" xfId="0" applyAlignment="1" applyBorder="1" applyFont="1">
      <alignment horizontal="center" readingOrder="0" vertical="bottom"/>
    </xf>
    <xf borderId="6" fillId="0" fontId="9" numFmtId="0" xfId="0" applyBorder="1" applyFont="1"/>
    <xf borderId="6" fillId="0" fontId="2" numFmtId="0" xfId="0" applyAlignment="1" applyBorder="1" applyFont="1">
      <alignment horizontal="center" vertical="bottom"/>
    </xf>
    <xf borderId="6" fillId="0" fontId="2" numFmtId="164" xfId="0" applyAlignment="1" applyBorder="1" applyFont="1" applyNumberFormat="1">
      <alignment horizontal="center" readingOrder="0" vertical="bottom"/>
    </xf>
    <xf borderId="6" fillId="0" fontId="2" numFmtId="0" xfId="0" applyAlignment="1" applyBorder="1" applyFont="1">
      <alignment horizontal="center" readingOrder="0" vertical="bottom"/>
    </xf>
    <xf borderId="0" fillId="0" fontId="2" numFmtId="164" xfId="0" applyAlignment="1" applyFont="1" applyNumberFormat="1">
      <alignment horizontal="center" readingOrder="0" vertical="bottom"/>
    </xf>
    <xf borderId="0" fillId="4" fontId="14" numFmtId="0" xfId="0" applyAlignment="1" applyFont="1">
      <alignment readingOrder="0"/>
    </xf>
    <xf borderId="1" fillId="0" fontId="5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3" numFmtId="3" xfId="0" applyAlignment="1" applyBorder="1" applyFont="1" applyNumberForma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1" fillId="2" fontId="7" numFmtId="0" xfId="0" applyAlignment="1" applyBorder="1" applyFont="1">
      <alignment horizontal="center" readingOrder="0" shrinkToFit="0" vertical="bottom" wrapText="1"/>
    </xf>
    <xf borderId="1" fillId="2" fontId="7" numFmtId="0" xfId="0" applyAlignment="1" applyBorder="1" applyFont="1">
      <alignment horizontal="center" shrinkToFit="0" vertical="bottom" wrapText="1"/>
    </xf>
    <xf borderId="9" fillId="0" fontId="3" numFmtId="164" xfId="0" applyAlignment="1" applyBorder="1" applyFont="1" applyNumberFormat="1">
      <alignment horizontal="center" readingOrder="0" vertical="bottom"/>
    </xf>
    <xf borderId="13" fillId="0" fontId="11" numFmtId="0" xfId="0" applyBorder="1" applyFont="1"/>
    <xf borderId="9" fillId="0" fontId="2" numFmtId="164" xfId="0" applyAlignment="1" applyBorder="1" applyFont="1" applyNumberFormat="1">
      <alignment horizontal="center" readingOrder="0" vertical="bottom"/>
    </xf>
    <xf borderId="0" fillId="0" fontId="3" numFmtId="0" xfId="0" applyAlignment="1" applyFont="1">
      <alignment shrinkToFit="0" vertical="bottom" wrapText="0"/>
    </xf>
    <xf borderId="0" fillId="4" fontId="5" numFmtId="0" xfId="0" applyAlignment="1" applyFont="1">
      <alignment vertical="bottom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horizontal="center" vertical="bottom"/>
    </xf>
    <xf borderId="9" fillId="0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9" fillId="2" fontId="7" numFmtId="0" xfId="0" applyAlignment="1" applyBorder="1" applyFont="1">
      <alignment horizontal="center" readingOrder="0" shrinkToFit="0" vertical="bottom" wrapText="1"/>
    </xf>
    <xf borderId="0" fillId="0" fontId="7" numFmtId="0" xfId="0" applyAlignment="1" applyFont="1">
      <alignment horizontal="center" shrinkToFit="0" vertical="bottom" wrapText="1"/>
    </xf>
    <xf borderId="0" fillId="0" fontId="7" numFmtId="0" xfId="0" applyAlignment="1" applyFont="1">
      <alignment horizontal="center" vertical="bottom"/>
    </xf>
    <xf borderId="1" fillId="4" fontId="15" numFmtId="166" xfId="0" applyAlignment="1" applyBorder="1" applyFont="1" applyNumberFormat="1">
      <alignment horizontal="center" vertical="bottom"/>
    </xf>
    <xf borderId="1" fillId="4" fontId="15" numFmtId="164" xfId="0" applyAlignment="1" applyBorder="1" applyFont="1" applyNumberFormat="1">
      <alignment horizontal="center" vertical="bottom"/>
    </xf>
    <xf borderId="1" fillId="0" fontId="15" numFmtId="164" xfId="0" applyAlignment="1" applyBorder="1" applyFont="1" applyNumberForma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1" fillId="3" fontId="3" numFmtId="0" xfId="0" applyAlignment="1" applyBorder="1" applyFont="1">
      <alignment horizontal="center" vertical="bottom"/>
    </xf>
    <xf borderId="1" fillId="3" fontId="15" numFmtId="166" xfId="0" applyAlignment="1" applyBorder="1" applyFont="1" applyNumberFormat="1">
      <alignment horizontal="center" vertical="bottom"/>
    </xf>
    <xf borderId="1" fillId="3" fontId="15" numFmtId="164" xfId="0" applyAlignment="1" applyBorder="1" applyFont="1" applyNumberFormat="1">
      <alignment horizontal="center" vertical="bottom"/>
    </xf>
    <xf borderId="1" fillId="3" fontId="3" numFmtId="164" xfId="0" applyAlignment="1" applyBorder="1" applyFont="1" applyNumberFormat="1">
      <alignment horizontal="center" vertical="bottom"/>
    </xf>
    <xf borderId="1" fillId="5" fontId="3" numFmtId="164" xfId="0" applyAlignment="1" applyBorder="1" applyFill="1" applyFont="1" applyNumberFormat="1">
      <alignment horizontal="center" vertical="bottom"/>
    </xf>
    <xf borderId="1" fillId="0" fontId="15" numFmtId="166" xfId="0" applyAlignment="1" applyBorder="1" applyFont="1" applyNumberFormat="1">
      <alignment horizontal="center" vertical="bottom"/>
    </xf>
    <xf borderId="1" fillId="5" fontId="3" numFmtId="0" xfId="0" applyAlignment="1" applyBorder="1" applyFont="1">
      <alignment horizontal="center" vertical="bottom"/>
    </xf>
    <xf borderId="1" fillId="5" fontId="15" numFmtId="166" xfId="0" applyAlignment="1" applyBorder="1" applyFont="1" applyNumberFormat="1">
      <alignment horizontal="center" vertical="bottom"/>
    </xf>
    <xf borderId="1" fillId="5" fontId="15" numFmtId="164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4" max="4" width="12.5"/>
    <col customWidth="1" min="6" max="6" width="8.75"/>
    <col customWidth="1" min="7" max="7" width="15.5"/>
    <col customWidth="1" min="8" max="8" width="12.5"/>
  </cols>
  <sheetData>
    <row r="1">
      <c r="A1" s="1" t="s">
        <v>0</v>
      </c>
    </row>
    <row r="3">
      <c r="B3" s="2" t="s">
        <v>1</v>
      </c>
      <c r="C3" s="3"/>
      <c r="D3" s="3"/>
      <c r="E3" s="3"/>
    </row>
    <row r="4">
      <c r="B4" s="4"/>
      <c r="C4" s="5">
        <v>1.0</v>
      </c>
      <c r="D4" s="5">
        <v>2.0</v>
      </c>
      <c r="E4" s="5">
        <v>3.0</v>
      </c>
    </row>
    <row r="5">
      <c r="A5" s="3"/>
      <c r="B5" s="6" t="s">
        <v>2</v>
      </c>
      <c r="C5" s="7">
        <v>100000.0</v>
      </c>
      <c r="D5" s="7">
        <v>100000.0</v>
      </c>
      <c r="E5" s="7">
        <v>100000.0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3"/>
      <c r="B6" s="6" t="s">
        <v>3</v>
      </c>
      <c r="C6" s="7">
        <v>50000.0</v>
      </c>
      <c r="D6" s="7">
        <v>50000.0</v>
      </c>
      <c r="E6" s="7">
        <v>50000.0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3"/>
      <c r="B7" s="6" t="s">
        <v>4</v>
      </c>
      <c r="C7" s="7">
        <v>25000.0</v>
      </c>
      <c r="D7" s="7">
        <v>25000.0</v>
      </c>
      <c r="E7" s="7">
        <v>25000.0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A8" s="3"/>
      <c r="B8" s="6" t="s">
        <v>5</v>
      </c>
      <c r="C8" s="7">
        <v>12500.0</v>
      </c>
      <c r="D8" s="7">
        <v>12500.0</v>
      </c>
      <c r="E8" s="7">
        <v>12500.0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A9" s="3"/>
      <c r="B9" s="6" t="s">
        <v>6</v>
      </c>
      <c r="C9" s="7">
        <v>6250.0</v>
      </c>
      <c r="D9" s="7">
        <v>6250.0</v>
      </c>
      <c r="E9" s="7">
        <v>6250.0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A10" s="3"/>
      <c r="B10" s="6" t="s">
        <v>7</v>
      </c>
      <c r="C10" s="7">
        <v>3125.0</v>
      </c>
      <c r="D10" s="7">
        <v>3125.0</v>
      </c>
      <c r="E10" s="7">
        <v>3125.0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A11" s="3"/>
      <c r="B11" s="6" t="s">
        <v>8</v>
      </c>
      <c r="C11" s="7">
        <v>0.0</v>
      </c>
      <c r="D11" s="7">
        <v>0.0</v>
      </c>
      <c r="E11" s="7">
        <v>0.0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>
      <c r="A12" s="3"/>
      <c r="B12" s="6" t="s">
        <v>9</v>
      </c>
      <c r="C12" s="8"/>
      <c r="D12" s="8" t="s">
        <v>10</v>
      </c>
      <c r="E12" s="8" t="s">
        <v>11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>
      <c r="A13" s="3"/>
      <c r="B13" s="9"/>
      <c r="C13" s="10"/>
      <c r="D13" s="11"/>
      <c r="E13" s="11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>
      <c r="A14" s="3"/>
      <c r="B14" s="2"/>
      <c r="F14" s="2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>
      <c r="A15" s="3"/>
      <c r="B15" s="2" t="s">
        <v>12</v>
      </c>
      <c r="C15" s="3"/>
      <c r="D15" s="3"/>
      <c r="E15" s="3"/>
      <c r="F15" s="2"/>
      <c r="G15" s="12" t="s">
        <v>13</v>
      </c>
      <c r="H15" s="1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>
      <c r="A16" s="3"/>
      <c r="B16" s="14" t="s">
        <v>14</v>
      </c>
      <c r="C16" s="15" t="s">
        <v>15</v>
      </c>
      <c r="D16" s="16" t="s">
        <v>16</v>
      </c>
      <c r="E16" s="17" t="s">
        <v>17</v>
      </c>
      <c r="F16" s="18"/>
      <c r="G16" s="19" t="s">
        <v>14</v>
      </c>
      <c r="H16" s="20" t="s">
        <v>18</v>
      </c>
      <c r="I16" s="20" t="s">
        <v>19</v>
      </c>
      <c r="J16" s="20" t="s">
        <v>20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3"/>
      <c r="B17" s="21" t="s">
        <v>21</v>
      </c>
      <c r="C17" s="22">
        <v>1.0</v>
      </c>
      <c r="D17" s="23">
        <v>13.896034274814532</v>
      </c>
      <c r="E17" s="24" t="s">
        <v>22</v>
      </c>
      <c r="F17" s="25"/>
      <c r="G17" s="26" t="s">
        <v>21</v>
      </c>
      <c r="H17" s="27">
        <f>AVERAGE(D17:D19)</f>
        <v>13.39262369</v>
      </c>
      <c r="I17" s="27">
        <f>STDEV(D17:D19)</f>
        <v>1.083228199</v>
      </c>
      <c r="J17" s="28" t="s">
        <v>23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A18" s="3"/>
      <c r="B18" s="29"/>
      <c r="C18" s="30">
        <v>2.0</v>
      </c>
      <c r="D18" s="23">
        <v>14.132541651939405</v>
      </c>
      <c r="E18" s="24" t="s">
        <v>22</v>
      </c>
      <c r="F18" s="25"/>
      <c r="G18" s="26" t="s">
        <v>24</v>
      </c>
      <c r="H18" s="27">
        <f>AVERAGE(D20:D22)</f>
        <v>12.92711361</v>
      </c>
      <c r="I18" s="27">
        <f>STDEV(D20:D22)</f>
        <v>1.662612075</v>
      </c>
      <c r="J18" s="28" t="s">
        <v>23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>
      <c r="B19" s="29"/>
      <c r="C19" s="30">
        <v>3.0</v>
      </c>
      <c r="D19" s="23">
        <v>12.149295150959219</v>
      </c>
      <c r="E19" s="24" t="s">
        <v>22</v>
      </c>
      <c r="F19" s="25"/>
      <c r="G19" s="26" t="s">
        <v>25</v>
      </c>
      <c r="H19" s="27">
        <f>AVERAGE(D23:D25)</f>
        <v>16.19790667</v>
      </c>
      <c r="I19" s="27">
        <f>STDEV(D23:D25)</f>
        <v>3.834205099</v>
      </c>
      <c r="J19" s="28" t="s">
        <v>23</v>
      </c>
    </row>
    <row r="20">
      <c r="B20" s="21" t="s">
        <v>24</v>
      </c>
      <c r="C20" s="30">
        <v>1.0</v>
      </c>
      <c r="D20" s="23">
        <v>14.75382629623238</v>
      </c>
      <c r="E20" s="24" t="s">
        <v>22</v>
      </c>
      <c r="F20" s="25"/>
      <c r="G20" s="26" t="s">
        <v>26</v>
      </c>
      <c r="H20" s="31">
        <f>AVERAGE(D26:D28)</f>
        <v>15.69991001</v>
      </c>
      <c r="I20" s="27">
        <f>STDEV(D26:D28)</f>
        <v>1.719653569</v>
      </c>
      <c r="J20" s="28" t="s">
        <v>27</v>
      </c>
    </row>
    <row r="21">
      <c r="B21" s="29"/>
      <c r="C21" s="30">
        <v>2.0</v>
      </c>
      <c r="D21" s="23">
        <v>11.502269743802085</v>
      </c>
      <c r="E21" s="24" t="s">
        <v>22</v>
      </c>
      <c r="F21" s="25"/>
      <c r="G21" s="26" t="s">
        <v>28</v>
      </c>
      <c r="H21" s="31">
        <f>AVERAGE(D29:D31)</f>
        <v>16.43169487</v>
      </c>
      <c r="I21" s="27" t="s">
        <v>29</v>
      </c>
      <c r="J21" s="28" t="s">
        <v>30</v>
      </c>
    </row>
    <row r="22">
      <c r="B22" s="29"/>
      <c r="C22" s="30">
        <v>3.0</v>
      </c>
      <c r="D22" s="23">
        <v>12.52524479908449</v>
      </c>
      <c r="E22" s="24" t="s">
        <v>22</v>
      </c>
      <c r="F22" s="25"/>
      <c r="G22" s="32" t="s">
        <v>31</v>
      </c>
      <c r="H22" s="33">
        <f>AVERAGE(D32:D34)</f>
        <v>13.46319719</v>
      </c>
      <c r="I22" s="34" t="s">
        <v>29</v>
      </c>
      <c r="J22" s="28" t="s">
        <v>30</v>
      </c>
    </row>
    <row r="23">
      <c r="B23" s="21" t="s">
        <v>25</v>
      </c>
      <c r="C23" s="30">
        <v>1.0</v>
      </c>
      <c r="D23" s="23">
        <v>12.755871166247118</v>
      </c>
      <c r="E23" s="24" t="s">
        <v>22</v>
      </c>
      <c r="F23" s="35"/>
      <c r="G23" s="36"/>
      <c r="H23" s="37"/>
      <c r="I23" s="38"/>
      <c r="J23" s="39"/>
    </row>
    <row r="24">
      <c r="B24" s="29"/>
      <c r="C24" s="22">
        <v>2.0</v>
      </c>
      <c r="D24" s="23">
        <v>20.330443121985013</v>
      </c>
      <c r="E24" s="24" t="s">
        <v>22</v>
      </c>
      <c r="F24" s="40"/>
      <c r="G24" s="40"/>
    </row>
    <row r="25">
      <c r="B25" s="29"/>
      <c r="C25" s="22">
        <v>3.0</v>
      </c>
      <c r="D25" s="23">
        <v>15.507405727668758</v>
      </c>
      <c r="E25" s="24" t="s">
        <v>22</v>
      </c>
      <c r="F25" s="40"/>
      <c r="G25" s="40"/>
    </row>
    <row r="26">
      <c r="B26" s="21" t="s">
        <v>26</v>
      </c>
      <c r="C26" s="22">
        <v>1.0</v>
      </c>
      <c r="D26" s="23">
        <v>14.483931310721502</v>
      </c>
      <c r="E26" s="24" t="s">
        <v>22</v>
      </c>
      <c r="F26" s="40"/>
      <c r="G26" s="40"/>
    </row>
    <row r="27">
      <c r="B27" s="29"/>
      <c r="C27" s="22">
        <v>2.0</v>
      </c>
      <c r="D27" s="23" t="s">
        <v>32</v>
      </c>
      <c r="E27" s="24" t="s">
        <v>33</v>
      </c>
      <c r="F27" s="40"/>
      <c r="G27" s="40"/>
    </row>
    <row r="28">
      <c r="B28" s="29"/>
      <c r="C28" s="22">
        <v>3.0</v>
      </c>
      <c r="D28" s="23">
        <v>16.915888710517663</v>
      </c>
      <c r="E28" s="24" t="s">
        <v>22</v>
      </c>
      <c r="F28" s="40"/>
      <c r="G28" s="40"/>
    </row>
    <row r="29">
      <c r="B29" s="21" t="s">
        <v>28</v>
      </c>
      <c r="C29" s="22">
        <v>1.0</v>
      </c>
      <c r="D29" s="23" t="s">
        <v>32</v>
      </c>
      <c r="E29" s="24" t="s">
        <v>33</v>
      </c>
      <c r="F29" s="40"/>
      <c r="G29" s="40"/>
    </row>
    <row r="30">
      <c r="B30" s="29"/>
      <c r="C30" s="22">
        <v>2.0</v>
      </c>
      <c r="D30" s="23" t="s">
        <v>32</v>
      </c>
      <c r="E30" s="24" t="s">
        <v>33</v>
      </c>
      <c r="F30" s="40"/>
      <c r="G30" s="40"/>
    </row>
    <row r="31">
      <c r="B31" s="29"/>
      <c r="C31" s="22">
        <v>3.0</v>
      </c>
      <c r="D31" s="23">
        <v>16.43169486900468</v>
      </c>
      <c r="E31" s="24" t="s">
        <v>22</v>
      </c>
      <c r="F31" s="40"/>
      <c r="G31" s="40"/>
    </row>
    <row r="32">
      <c r="B32" s="21" t="s">
        <v>31</v>
      </c>
      <c r="C32" s="22">
        <v>1.0</v>
      </c>
      <c r="D32" s="23" t="s">
        <v>32</v>
      </c>
      <c r="E32" s="24" t="s">
        <v>33</v>
      </c>
      <c r="F32" s="40"/>
      <c r="G32" s="40"/>
    </row>
    <row r="33">
      <c r="B33" s="29"/>
      <c r="C33" s="22">
        <v>2.0</v>
      </c>
      <c r="D33" s="23" t="s">
        <v>32</v>
      </c>
      <c r="E33" s="24" t="s">
        <v>33</v>
      </c>
      <c r="F33" s="40"/>
      <c r="G33" s="40"/>
    </row>
    <row r="34">
      <c r="B34" s="29"/>
      <c r="C34" s="22">
        <v>3.0</v>
      </c>
      <c r="D34" s="23">
        <v>13.463197190799647</v>
      </c>
      <c r="E34" s="24" t="s">
        <v>22</v>
      </c>
      <c r="F34" s="40"/>
      <c r="G34" s="40"/>
    </row>
    <row r="35">
      <c r="B35" s="21" t="s">
        <v>34</v>
      </c>
      <c r="C35" s="22">
        <v>1.0</v>
      </c>
      <c r="D35" s="23" t="s">
        <v>32</v>
      </c>
      <c r="E35" s="24" t="s">
        <v>33</v>
      </c>
      <c r="F35" s="40"/>
      <c r="G35" s="40"/>
    </row>
    <row r="36">
      <c r="B36" s="29"/>
      <c r="C36" s="22">
        <v>2.0</v>
      </c>
      <c r="D36" s="23" t="s">
        <v>32</v>
      </c>
      <c r="E36" s="24" t="s">
        <v>33</v>
      </c>
      <c r="F36" s="40"/>
      <c r="G36" s="40"/>
    </row>
    <row r="37">
      <c r="B37" s="29"/>
      <c r="C37" s="22">
        <v>3.0</v>
      </c>
      <c r="D37" s="23" t="s">
        <v>32</v>
      </c>
      <c r="E37" s="24" t="s">
        <v>33</v>
      </c>
      <c r="F37" s="40"/>
      <c r="G37" s="40"/>
    </row>
    <row r="38">
      <c r="B38" s="41" t="s">
        <v>35</v>
      </c>
      <c r="C38" s="22">
        <v>1.0</v>
      </c>
      <c r="D38" s="23" t="s">
        <v>32</v>
      </c>
      <c r="E38" s="24" t="s">
        <v>33</v>
      </c>
      <c r="F38" s="3"/>
      <c r="G38" s="3"/>
    </row>
    <row r="39">
      <c r="B39" s="41" t="s">
        <v>36</v>
      </c>
      <c r="C39" s="22">
        <v>1.0</v>
      </c>
      <c r="D39" s="23">
        <v>11.5</v>
      </c>
      <c r="E39" s="24" t="s">
        <v>22</v>
      </c>
      <c r="F39" s="3"/>
      <c r="G39" s="3"/>
    </row>
    <row r="40">
      <c r="B40" s="3"/>
      <c r="C40" s="3"/>
      <c r="D40" s="3"/>
      <c r="E40" s="3"/>
      <c r="F40" s="3"/>
      <c r="G40" s="3"/>
    </row>
    <row r="41">
      <c r="B41" s="3"/>
      <c r="C41" s="3"/>
      <c r="D41" s="3"/>
      <c r="E41" s="3"/>
      <c r="F41" s="3"/>
      <c r="G4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4" max="4" width="12.5"/>
    <col customWidth="1" min="6" max="6" width="15.0"/>
    <col customWidth="1" min="7" max="7" width="15.5"/>
    <col customWidth="1" min="10" max="10" width="15.5"/>
    <col customWidth="1" min="14" max="14" width="15.5"/>
  </cols>
  <sheetData>
    <row r="1">
      <c r="A1" s="1" t="s">
        <v>37</v>
      </c>
    </row>
    <row r="2">
      <c r="J2" s="2"/>
    </row>
    <row r="3">
      <c r="B3" s="2" t="s">
        <v>1</v>
      </c>
      <c r="C3" s="3"/>
      <c r="D3" s="3"/>
      <c r="E3" s="3"/>
      <c r="F3" s="3"/>
      <c r="G3" s="3"/>
      <c r="H3" s="3"/>
      <c r="I3" s="3"/>
      <c r="J3" s="2"/>
      <c r="K3" s="3"/>
      <c r="L3" s="3"/>
      <c r="M3" s="3"/>
      <c r="N3" s="3"/>
    </row>
    <row r="4">
      <c r="B4" s="4"/>
      <c r="C4" s="5">
        <v>1.0</v>
      </c>
      <c r="D4" s="5">
        <v>2.0</v>
      </c>
      <c r="E4" s="5">
        <v>3.0</v>
      </c>
      <c r="F4" s="5">
        <v>4.0</v>
      </c>
      <c r="G4" s="5">
        <v>5.0</v>
      </c>
      <c r="H4" s="5">
        <v>6.0</v>
      </c>
      <c r="I4" s="5">
        <v>7.0</v>
      </c>
      <c r="J4" s="5">
        <v>8.0</v>
      </c>
      <c r="K4" s="5">
        <v>9.0</v>
      </c>
      <c r="L4" s="42"/>
      <c r="M4" s="42"/>
      <c r="N4" s="42"/>
      <c r="O4" s="42"/>
      <c r="P4" s="42"/>
    </row>
    <row r="5">
      <c r="B5" s="6" t="s">
        <v>2</v>
      </c>
      <c r="C5" s="7">
        <v>50000.0</v>
      </c>
      <c r="D5" s="7">
        <v>50000.0</v>
      </c>
      <c r="E5" s="7">
        <v>50000.0</v>
      </c>
      <c r="F5" s="7">
        <v>25000.0</v>
      </c>
      <c r="G5" s="7">
        <v>25000.0</v>
      </c>
      <c r="H5" s="7">
        <v>25000.0</v>
      </c>
      <c r="I5" s="7">
        <v>12500.0</v>
      </c>
      <c r="J5" s="7">
        <v>12500.0</v>
      </c>
      <c r="K5" s="7">
        <v>12500.0</v>
      </c>
      <c r="L5" s="43"/>
      <c r="M5" s="43"/>
      <c r="N5" s="43"/>
      <c r="O5" s="43"/>
      <c r="P5" s="43"/>
    </row>
    <row r="6">
      <c r="B6" s="6" t="s">
        <v>3</v>
      </c>
      <c r="C6" s="7">
        <v>50000.0</v>
      </c>
      <c r="D6" s="7">
        <v>50000.0</v>
      </c>
      <c r="E6" s="7">
        <v>50000.0</v>
      </c>
      <c r="F6" s="7">
        <v>25000.0</v>
      </c>
      <c r="G6" s="7">
        <v>25000.0</v>
      </c>
      <c r="H6" s="7">
        <v>25000.0</v>
      </c>
      <c r="I6" s="7">
        <v>12500.0</v>
      </c>
      <c r="J6" s="7">
        <v>12500.0</v>
      </c>
      <c r="K6" s="7">
        <v>12500.0</v>
      </c>
      <c r="L6" s="43"/>
      <c r="M6" s="43"/>
      <c r="N6" s="43"/>
      <c r="O6" s="43"/>
      <c r="P6" s="43"/>
    </row>
    <row r="7">
      <c r="B7" s="6" t="s">
        <v>4</v>
      </c>
      <c r="C7" s="7">
        <v>50000.0</v>
      </c>
      <c r="D7" s="7">
        <v>50000.0</v>
      </c>
      <c r="E7" s="7">
        <v>50000.0</v>
      </c>
      <c r="F7" s="7">
        <v>25000.0</v>
      </c>
      <c r="G7" s="7">
        <v>25000.0</v>
      </c>
      <c r="H7" s="7">
        <v>25000.0</v>
      </c>
      <c r="I7" s="7">
        <v>12500.0</v>
      </c>
      <c r="J7" s="7">
        <v>12500.0</v>
      </c>
      <c r="K7" s="7">
        <v>12500.0</v>
      </c>
      <c r="L7" s="43"/>
      <c r="M7" s="43"/>
      <c r="N7" s="43"/>
      <c r="O7" s="43"/>
      <c r="P7" s="43"/>
    </row>
    <row r="8">
      <c r="B8" s="6" t="s">
        <v>5</v>
      </c>
      <c r="C8" s="7">
        <v>50000.0</v>
      </c>
      <c r="D8" s="7">
        <v>50000.0</v>
      </c>
      <c r="E8" s="7">
        <v>50000.0</v>
      </c>
      <c r="F8" s="7">
        <v>25000.0</v>
      </c>
      <c r="G8" s="7">
        <v>25000.0</v>
      </c>
      <c r="H8" s="7">
        <v>25000.0</v>
      </c>
      <c r="I8" s="7">
        <v>12500.0</v>
      </c>
      <c r="J8" s="7">
        <v>12500.0</v>
      </c>
      <c r="K8" s="7">
        <v>12500.0</v>
      </c>
      <c r="L8" s="43"/>
      <c r="M8" s="43"/>
      <c r="N8" s="43"/>
      <c r="O8" s="43"/>
      <c r="P8" s="43"/>
    </row>
    <row r="9">
      <c r="B9" s="6" t="s">
        <v>6</v>
      </c>
      <c r="C9" s="7">
        <v>50000.0</v>
      </c>
      <c r="D9" s="7">
        <v>50000.0</v>
      </c>
      <c r="E9" s="7">
        <v>50000.0</v>
      </c>
      <c r="F9" s="7">
        <v>25000.0</v>
      </c>
      <c r="G9" s="7">
        <v>25000.0</v>
      </c>
      <c r="H9" s="7">
        <v>25000.0</v>
      </c>
      <c r="I9" s="7">
        <v>12500.0</v>
      </c>
      <c r="J9" s="7">
        <v>12500.0</v>
      </c>
      <c r="K9" s="7">
        <v>12500.0</v>
      </c>
      <c r="L9" s="43"/>
      <c r="M9" s="43"/>
      <c r="N9" s="43"/>
      <c r="O9" s="43"/>
      <c r="P9" s="43"/>
    </row>
    <row r="10">
      <c r="B10" s="6" t="s">
        <v>7</v>
      </c>
      <c r="C10" s="7">
        <v>50000.0</v>
      </c>
      <c r="D10" s="7">
        <v>50000.0</v>
      </c>
      <c r="E10" s="7">
        <v>50000.0</v>
      </c>
      <c r="F10" s="7">
        <v>25000.0</v>
      </c>
      <c r="G10" s="7">
        <v>25000.0</v>
      </c>
      <c r="H10" s="7">
        <v>25000.0</v>
      </c>
      <c r="I10" s="7">
        <v>12500.0</v>
      </c>
      <c r="J10" s="7">
        <v>12500.0</v>
      </c>
      <c r="K10" s="7">
        <v>12500.0</v>
      </c>
      <c r="L10" s="43"/>
      <c r="M10" s="43"/>
      <c r="N10" s="43"/>
      <c r="O10" s="43"/>
      <c r="P10" s="43"/>
    </row>
    <row r="11">
      <c r="B11" s="6" t="s">
        <v>8</v>
      </c>
      <c r="C11" s="7">
        <v>50000.0</v>
      </c>
      <c r="D11" s="7">
        <v>50000.0</v>
      </c>
      <c r="E11" s="7">
        <v>50000.0</v>
      </c>
      <c r="F11" s="7">
        <v>25000.0</v>
      </c>
      <c r="G11" s="7">
        <v>25000.0</v>
      </c>
      <c r="H11" s="7">
        <v>25000.0</v>
      </c>
      <c r="I11" s="7">
        <v>12500.0</v>
      </c>
      <c r="J11" s="7">
        <v>12500.0</v>
      </c>
      <c r="K11" s="7">
        <v>12500.0</v>
      </c>
      <c r="L11" s="43"/>
      <c r="M11" s="43"/>
      <c r="N11" s="43"/>
      <c r="O11" s="43"/>
      <c r="P11" s="43"/>
    </row>
    <row r="12">
      <c r="B12" s="6" t="s">
        <v>9</v>
      </c>
      <c r="C12" s="44">
        <v>0.0</v>
      </c>
      <c r="D12" s="44">
        <v>0.0</v>
      </c>
      <c r="E12" s="44">
        <v>0.0</v>
      </c>
      <c r="F12" s="8" t="s">
        <v>10</v>
      </c>
      <c r="G12" s="8" t="s">
        <v>10</v>
      </c>
      <c r="H12" s="8" t="s">
        <v>10</v>
      </c>
      <c r="I12" s="8" t="s">
        <v>10</v>
      </c>
      <c r="J12" s="8" t="s">
        <v>10</v>
      </c>
      <c r="K12" s="45" t="s">
        <v>11</v>
      </c>
      <c r="L12" s="11"/>
      <c r="M12" s="11"/>
      <c r="N12" s="10"/>
      <c r="O12" s="11"/>
      <c r="P12" s="11"/>
    </row>
    <row r="13">
      <c r="B13" s="9"/>
      <c r="C13" s="10"/>
      <c r="D13" s="11"/>
      <c r="E13" s="11"/>
      <c r="F13" s="10"/>
      <c r="G13" s="11"/>
      <c r="H13" s="11"/>
      <c r="I13" s="3"/>
      <c r="J13" s="3"/>
      <c r="K13" s="3"/>
      <c r="L13" s="3"/>
      <c r="M13" s="3"/>
      <c r="N13" s="3"/>
    </row>
    <row r="14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>
      <c r="A15" s="3"/>
      <c r="B15" s="2" t="s">
        <v>12</v>
      </c>
      <c r="C15" s="3"/>
      <c r="D15" s="3"/>
      <c r="E15" s="3"/>
      <c r="F15" s="2"/>
      <c r="G15" s="12" t="s">
        <v>13</v>
      </c>
      <c r="H15" s="13"/>
      <c r="I15" s="3"/>
      <c r="J15" s="2"/>
      <c r="K15" s="3"/>
      <c r="L15" s="3"/>
      <c r="M15" s="3"/>
      <c r="N15" s="2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14" t="s">
        <v>14</v>
      </c>
      <c r="C16" s="15" t="s">
        <v>15</v>
      </c>
      <c r="D16" s="16" t="s">
        <v>16</v>
      </c>
      <c r="E16" s="16" t="s">
        <v>17</v>
      </c>
      <c r="F16" s="46"/>
      <c r="G16" s="47" t="s">
        <v>14</v>
      </c>
      <c r="H16" s="20" t="s">
        <v>38</v>
      </c>
      <c r="I16" s="48" t="s">
        <v>39</v>
      </c>
      <c r="J16" s="20" t="s">
        <v>20</v>
      </c>
      <c r="K16" s="49"/>
      <c r="L16" s="49"/>
      <c r="M16" s="40"/>
      <c r="N16" s="46"/>
      <c r="O16" s="49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7.25" customHeight="1">
      <c r="A17" s="3"/>
      <c r="B17" s="21" t="s">
        <v>24</v>
      </c>
      <c r="C17" s="22">
        <v>1.0</v>
      </c>
      <c r="D17" s="22" t="s">
        <v>32</v>
      </c>
      <c r="E17" s="22" t="s">
        <v>33</v>
      </c>
      <c r="F17" s="35"/>
      <c r="G17" s="21" t="s">
        <v>24</v>
      </c>
      <c r="H17" s="31">
        <f>AVERAGE(D17:D37)</f>
        <v>11.925</v>
      </c>
      <c r="I17" s="50">
        <f>STDEV(D17:D37)</f>
        <v>1.482130401</v>
      </c>
      <c r="J17" s="28" t="s">
        <v>40</v>
      </c>
      <c r="K17" s="51"/>
      <c r="L17" s="51"/>
      <c r="M17" s="40"/>
      <c r="N17" s="35"/>
      <c r="O17" s="51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7.25" customHeight="1">
      <c r="A18" s="3"/>
      <c r="B18" s="29"/>
      <c r="C18" s="22">
        <v>2.0</v>
      </c>
      <c r="D18" s="22">
        <v>10.3</v>
      </c>
      <c r="E18" s="22" t="s">
        <v>22</v>
      </c>
      <c r="F18" s="35"/>
      <c r="G18" s="21" t="s">
        <v>25</v>
      </c>
      <c r="H18" s="31">
        <f>AVERAGE(D38:D58)</f>
        <v>13.83125</v>
      </c>
      <c r="I18" s="50">
        <f>STDEV(D38:D58)</f>
        <v>2.339150487</v>
      </c>
      <c r="J18" s="28" t="s">
        <v>41</v>
      </c>
      <c r="K18" s="51"/>
      <c r="L18" s="51"/>
      <c r="M18" s="40"/>
      <c r="N18" s="35"/>
      <c r="O18" s="51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7.25" customHeight="1">
      <c r="A19" s="3"/>
      <c r="B19" s="29"/>
      <c r="C19" s="22">
        <v>3.0</v>
      </c>
      <c r="D19" s="22">
        <v>14.9</v>
      </c>
      <c r="E19" s="22" t="s">
        <v>22</v>
      </c>
      <c r="F19" s="35"/>
      <c r="G19" s="52" t="s">
        <v>26</v>
      </c>
      <c r="H19" s="33">
        <f>AVERAGE(D59:D79)</f>
        <v>14.725</v>
      </c>
      <c r="I19" s="53">
        <f>STDEV(D59:D79)</f>
        <v>3.255654422</v>
      </c>
      <c r="J19" s="54" t="s">
        <v>42</v>
      </c>
      <c r="K19" s="51"/>
      <c r="L19" s="51"/>
      <c r="M19" s="40"/>
      <c r="N19" s="35"/>
      <c r="O19" s="51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7.25" customHeight="1">
      <c r="A20" s="3"/>
      <c r="B20" s="29"/>
      <c r="C20" s="22">
        <v>4.0</v>
      </c>
      <c r="D20" s="22">
        <v>13.8</v>
      </c>
      <c r="E20" s="22" t="s">
        <v>22</v>
      </c>
      <c r="F20" s="4"/>
      <c r="G20" s="55"/>
      <c r="H20" s="37"/>
      <c r="I20" s="37"/>
      <c r="J20" s="39"/>
      <c r="K20" s="51"/>
      <c r="L20" s="51"/>
      <c r="M20" s="40"/>
      <c r="N20" s="40"/>
      <c r="O20" s="40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7.25" customHeight="1">
      <c r="A21" s="3"/>
      <c r="B21" s="29"/>
      <c r="C21" s="22">
        <v>5.0</v>
      </c>
      <c r="D21" s="22">
        <v>11.8</v>
      </c>
      <c r="E21" s="22" t="s">
        <v>22</v>
      </c>
      <c r="F21" s="40"/>
      <c r="G21" s="40"/>
      <c r="H21" s="3"/>
      <c r="I21" s="3"/>
      <c r="J21" s="40"/>
      <c r="K21" s="51"/>
      <c r="L21" s="51"/>
      <c r="M21" s="40"/>
      <c r="N21" s="40"/>
      <c r="O21" s="40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7.25" customHeight="1">
      <c r="A22" s="3"/>
      <c r="B22" s="29"/>
      <c r="C22" s="22">
        <v>6.0</v>
      </c>
      <c r="D22" s="22">
        <v>9.9</v>
      </c>
      <c r="E22" s="22" t="s">
        <v>22</v>
      </c>
      <c r="F22" s="40"/>
      <c r="G22" s="40"/>
      <c r="H22" s="3"/>
      <c r="I22" s="3"/>
      <c r="J22" s="40"/>
      <c r="K22" s="51"/>
      <c r="L22" s="51"/>
      <c r="M22" s="40"/>
      <c r="N22" s="40"/>
      <c r="O22" s="40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7.25" customHeight="1">
      <c r="A23" s="3"/>
      <c r="B23" s="29"/>
      <c r="C23" s="22">
        <v>7.0</v>
      </c>
      <c r="D23" s="22">
        <v>11.7</v>
      </c>
      <c r="E23" s="22" t="s">
        <v>22</v>
      </c>
      <c r="F23" s="40"/>
      <c r="G23" s="40"/>
      <c r="H23" s="56"/>
      <c r="I23" s="3"/>
      <c r="J23" s="40"/>
      <c r="K23" s="51"/>
      <c r="L23" s="51"/>
      <c r="M23" s="40"/>
      <c r="N23" s="40"/>
      <c r="O23" s="40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7.25" customHeight="1">
      <c r="A24" s="3"/>
      <c r="B24" s="29"/>
      <c r="C24" s="22">
        <v>8.0</v>
      </c>
      <c r="D24" s="22">
        <v>12.9</v>
      </c>
      <c r="E24" s="22" t="s">
        <v>22</v>
      </c>
      <c r="F24" s="40"/>
      <c r="G24" s="40"/>
      <c r="H24" s="3"/>
      <c r="I24" s="3"/>
      <c r="J24" s="40"/>
      <c r="K24" s="51"/>
      <c r="L24" s="51"/>
      <c r="M24" s="40"/>
      <c r="N24" s="40"/>
      <c r="O24" s="40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7.25" customHeight="1">
      <c r="A25" s="3"/>
      <c r="B25" s="29"/>
      <c r="C25" s="22">
        <v>9.0</v>
      </c>
      <c r="D25" s="22">
        <v>14.4</v>
      </c>
      <c r="E25" s="22" t="s">
        <v>22</v>
      </c>
      <c r="F25" s="40"/>
      <c r="G25" s="40"/>
      <c r="H25" s="3"/>
      <c r="I25" s="3"/>
      <c r="J25" s="40"/>
      <c r="K25" s="51"/>
      <c r="L25" s="51"/>
      <c r="M25" s="40"/>
      <c r="N25" s="40"/>
      <c r="O25" s="40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7.25" customHeight="1">
      <c r="A26" s="3"/>
      <c r="B26" s="29"/>
      <c r="C26" s="22">
        <v>10.0</v>
      </c>
      <c r="D26" s="22">
        <v>10.9</v>
      </c>
      <c r="E26" s="22" t="s">
        <v>22</v>
      </c>
      <c r="F26" s="40"/>
      <c r="G26" s="40"/>
      <c r="H26" s="3"/>
      <c r="I26" s="3"/>
      <c r="J26" s="40"/>
      <c r="K26" s="51"/>
      <c r="L26" s="51"/>
      <c r="M26" s="40"/>
      <c r="N26" s="40"/>
      <c r="O26" s="40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7.25" customHeight="1">
      <c r="A27" s="3"/>
      <c r="B27" s="29"/>
      <c r="C27" s="22">
        <v>11.0</v>
      </c>
      <c r="D27" s="22">
        <v>10.4</v>
      </c>
      <c r="E27" s="22" t="s">
        <v>22</v>
      </c>
      <c r="F27" s="40"/>
      <c r="G27" s="40"/>
      <c r="H27" s="3"/>
      <c r="I27" s="3"/>
      <c r="J27" s="40"/>
      <c r="K27" s="51"/>
      <c r="L27" s="51"/>
      <c r="M27" s="40"/>
      <c r="N27" s="40"/>
      <c r="O27" s="40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7.25" customHeight="1">
      <c r="A28" s="3"/>
      <c r="B28" s="29"/>
      <c r="C28" s="22">
        <v>12.0</v>
      </c>
      <c r="D28" s="22">
        <v>14.2</v>
      </c>
      <c r="E28" s="22" t="s">
        <v>22</v>
      </c>
      <c r="F28" s="40"/>
      <c r="G28" s="40"/>
      <c r="H28" s="3"/>
      <c r="I28" s="3"/>
      <c r="J28" s="40"/>
      <c r="K28" s="51"/>
      <c r="L28" s="51"/>
      <c r="M28" s="40"/>
      <c r="N28" s="40"/>
      <c r="O28" s="40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7.25" customHeight="1">
      <c r="A29" s="3"/>
      <c r="B29" s="29"/>
      <c r="C29" s="22">
        <v>13.0</v>
      </c>
      <c r="D29" s="22">
        <v>11.1</v>
      </c>
      <c r="E29" s="22" t="s">
        <v>22</v>
      </c>
      <c r="F29" s="40"/>
      <c r="G29" s="40"/>
      <c r="H29" s="3"/>
      <c r="I29" s="3"/>
      <c r="J29" s="40"/>
      <c r="K29" s="51"/>
      <c r="L29" s="51"/>
      <c r="M29" s="40"/>
      <c r="N29" s="40"/>
      <c r="O29" s="40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7.25" customHeight="1">
      <c r="A30" s="3"/>
      <c r="B30" s="29"/>
      <c r="C30" s="22">
        <v>14.0</v>
      </c>
      <c r="D30" s="22">
        <v>11.7</v>
      </c>
      <c r="E30" s="22" t="s">
        <v>22</v>
      </c>
      <c r="F30" s="40"/>
      <c r="G30" s="40"/>
      <c r="H30" s="3"/>
      <c r="I30" s="3"/>
      <c r="J30" s="40"/>
      <c r="K30" s="51"/>
      <c r="L30" s="51"/>
      <c r="M30" s="40"/>
      <c r="N30" s="40"/>
      <c r="O30" s="40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7.25" customHeight="1">
      <c r="A31" s="3"/>
      <c r="B31" s="29"/>
      <c r="C31" s="22">
        <v>15.0</v>
      </c>
      <c r="D31" s="22">
        <v>11.8</v>
      </c>
      <c r="E31" s="22" t="s">
        <v>22</v>
      </c>
      <c r="F31" s="40"/>
      <c r="G31" s="40"/>
      <c r="H31" s="3"/>
      <c r="I31" s="3"/>
      <c r="J31" s="40"/>
      <c r="K31" s="51"/>
      <c r="L31" s="51"/>
      <c r="M31" s="40"/>
      <c r="N31" s="40"/>
      <c r="O31" s="40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7.25" customHeight="1">
      <c r="A32" s="3"/>
      <c r="B32" s="29"/>
      <c r="C32" s="22">
        <v>16.0</v>
      </c>
      <c r="D32" s="22">
        <v>10.2</v>
      </c>
      <c r="E32" s="22" t="s">
        <v>22</v>
      </c>
      <c r="F32" s="40"/>
      <c r="G32" s="40"/>
      <c r="H32" s="3"/>
      <c r="I32" s="3"/>
      <c r="J32" s="40"/>
      <c r="K32" s="51"/>
      <c r="L32" s="51"/>
      <c r="M32" s="40"/>
      <c r="N32" s="40"/>
      <c r="O32" s="40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7.25" customHeight="1">
      <c r="A33" s="3"/>
      <c r="B33" s="29"/>
      <c r="C33" s="22">
        <v>17.0</v>
      </c>
      <c r="D33" s="22">
        <v>12.8</v>
      </c>
      <c r="E33" s="22" t="s">
        <v>22</v>
      </c>
      <c r="F33" s="40"/>
      <c r="G33" s="40"/>
      <c r="H33" s="3"/>
      <c r="I33" s="3"/>
      <c r="J33" s="40"/>
      <c r="K33" s="51"/>
      <c r="L33" s="51"/>
      <c r="M33" s="40"/>
      <c r="N33" s="40"/>
      <c r="O33" s="40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7.25" customHeight="1">
      <c r="A34" s="3"/>
      <c r="B34" s="29"/>
      <c r="C34" s="22">
        <v>18.0</v>
      </c>
      <c r="D34" s="22">
        <v>11.0</v>
      </c>
      <c r="E34" s="22" t="s">
        <v>22</v>
      </c>
      <c r="F34" s="40"/>
      <c r="G34" s="40"/>
      <c r="H34" s="3"/>
      <c r="I34" s="3"/>
      <c r="J34" s="40"/>
      <c r="K34" s="51"/>
      <c r="L34" s="51"/>
      <c r="M34" s="40"/>
      <c r="N34" s="40"/>
      <c r="O34" s="40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7.25" customHeight="1">
      <c r="A35" s="3"/>
      <c r="B35" s="29"/>
      <c r="C35" s="22">
        <v>19.0</v>
      </c>
      <c r="D35" s="22">
        <v>10.7</v>
      </c>
      <c r="E35" s="22" t="s">
        <v>22</v>
      </c>
      <c r="F35" s="40"/>
      <c r="G35" s="40"/>
      <c r="H35" s="3"/>
      <c r="I35" s="3"/>
      <c r="J35" s="40"/>
      <c r="K35" s="51"/>
      <c r="L35" s="51"/>
      <c r="M35" s="40"/>
      <c r="N35" s="40"/>
      <c r="O35" s="40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7.25" customHeight="1">
      <c r="A36" s="3"/>
      <c r="B36" s="29"/>
      <c r="C36" s="22">
        <v>20.0</v>
      </c>
      <c r="D36" s="22">
        <v>12.2</v>
      </c>
      <c r="E36" s="22" t="s">
        <v>22</v>
      </c>
      <c r="F36" s="40"/>
      <c r="G36" s="40"/>
      <c r="H36" s="3"/>
      <c r="I36" s="3"/>
      <c r="J36" s="40"/>
      <c r="K36" s="51"/>
      <c r="L36" s="57"/>
      <c r="M36" s="40"/>
      <c r="N36" s="40"/>
      <c r="O36" s="40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7.25" customHeight="1">
      <c r="A37" s="3"/>
      <c r="B37" s="29"/>
      <c r="C37" s="22">
        <v>21.0</v>
      </c>
      <c r="D37" s="22">
        <v>11.8</v>
      </c>
      <c r="E37" s="22" t="s">
        <v>22</v>
      </c>
      <c r="F37" s="40"/>
      <c r="G37" s="40"/>
      <c r="H37" s="3"/>
      <c r="I37" s="3"/>
      <c r="J37" s="40"/>
      <c r="K37" s="51"/>
      <c r="L37" s="51"/>
      <c r="M37" s="40"/>
      <c r="N37" s="40"/>
      <c r="O37" s="40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21" t="s">
        <v>25</v>
      </c>
      <c r="C38" s="22">
        <v>1.0</v>
      </c>
      <c r="D38" s="22">
        <v>13.0</v>
      </c>
      <c r="E38" s="22" t="s">
        <v>22</v>
      </c>
      <c r="F38" s="40"/>
      <c r="G38" s="40"/>
      <c r="H38" s="3"/>
      <c r="I38" s="3"/>
      <c r="J38" s="35"/>
      <c r="K38" s="51"/>
      <c r="L38" s="51"/>
      <c r="M38" s="40"/>
      <c r="N38" s="40"/>
      <c r="O38" s="40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29"/>
      <c r="C39" s="22">
        <v>2.0</v>
      </c>
      <c r="D39" s="22">
        <v>14.3</v>
      </c>
      <c r="E39" s="22" t="s">
        <v>22</v>
      </c>
      <c r="F39" s="40"/>
      <c r="G39" s="40"/>
      <c r="H39" s="3"/>
      <c r="I39" s="3"/>
      <c r="J39" s="40"/>
      <c r="K39" s="51"/>
      <c r="L39" s="51"/>
      <c r="M39" s="40"/>
      <c r="N39" s="40"/>
      <c r="O39" s="40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29"/>
      <c r="C40" s="22">
        <v>3.0</v>
      </c>
      <c r="D40" s="22">
        <v>11.6</v>
      </c>
      <c r="E40" s="22" t="s">
        <v>22</v>
      </c>
      <c r="F40" s="40"/>
      <c r="G40" s="40"/>
      <c r="H40" s="3"/>
      <c r="I40" s="3"/>
      <c r="J40" s="40"/>
      <c r="K40" s="51"/>
      <c r="L40" s="51"/>
      <c r="M40" s="40"/>
      <c r="N40" s="40"/>
      <c r="O40" s="40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29"/>
      <c r="C41" s="22">
        <v>4.0</v>
      </c>
      <c r="D41" s="22" t="s">
        <v>32</v>
      </c>
      <c r="E41" s="22" t="s">
        <v>33</v>
      </c>
      <c r="F41" s="40"/>
      <c r="G41" s="40"/>
      <c r="H41" s="3"/>
      <c r="I41" s="3"/>
      <c r="J41" s="40"/>
      <c r="K41" s="51"/>
      <c r="L41" s="51"/>
      <c r="M41" s="40"/>
      <c r="N41" s="40"/>
      <c r="O41" s="40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29"/>
      <c r="C42" s="22">
        <v>5.0</v>
      </c>
      <c r="D42" s="22">
        <v>13.7</v>
      </c>
      <c r="E42" s="22" t="s">
        <v>22</v>
      </c>
      <c r="F42" s="40"/>
      <c r="G42" s="40"/>
      <c r="H42" s="3"/>
      <c r="I42" s="3"/>
      <c r="J42" s="40"/>
      <c r="K42" s="51"/>
      <c r="L42" s="51"/>
      <c r="M42" s="40"/>
      <c r="N42" s="40"/>
      <c r="O42" s="40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29"/>
      <c r="C43" s="22">
        <v>6.0</v>
      </c>
      <c r="D43" s="22">
        <v>13.1</v>
      </c>
      <c r="E43" s="22" t="s">
        <v>22</v>
      </c>
      <c r="F43" s="40"/>
      <c r="G43" s="40"/>
      <c r="H43" s="3"/>
      <c r="I43" s="3"/>
      <c r="J43" s="40"/>
      <c r="K43" s="51"/>
      <c r="L43" s="57"/>
      <c r="M43" s="40"/>
      <c r="N43" s="40"/>
      <c r="O43" s="40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29"/>
      <c r="C44" s="22">
        <v>7.0</v>
      </c>
      <c r="D44" s="22">
        <v>11.3</v>
      </c>
      <c r="E44" s="22" t="s">
        <v>22</v>
      </c>
      <c r="F44" s="40"/>
      <c r="G44" s="40"/>
      <c r="H44" s="3"/>
      <c r="I44" s="3"/>
      <c r="J44" s="40"/>
      <c r="K44" s="51"/>
      <c r="L44" s="51"/>
      <c r="M44" s="40"/>
      <c r="N44" s="40"/>
      <c r="O44" s="40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29"/>
      <c r="C45" s="22">
        <v>8.0</v>
      </c>
      <c r="D45" s="22" t="s">
        <v>32</v>
      </c>
      <c r="E45" s="22" t="s">
        <v>33</v>
      </c>
      <c r="F45" s="40"/>
      <c r="G45" s="40"/>
      <c r="H45" s="3"/>
      <c r="I45" s="3"/>
      <c r="J45" s="40"/>
      <c r="K45" s="51"/>
      <c r="L45" s="51"/>
      <c r="M45" s="40"/>
      <c r="N45" s="40"/>
      <c r="O45" s="40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29"/>
      <c r="C46" s="22">
        <v>9.0</v>
      </c>
      <c r="D46" s="22">
        <v>15.3</v>
      </c>
      <c r="E46" s="22" t="s">
        <v>22</v>
      </c>
      <c r="F46" s="40"/>
      <c r="G46" s="40"/>
      <c r="H46" s="3"/>
      <c r="I46" s="3"/>
      <c r="J46" s="40"/>
      <c r="K46" s="51"/>
      <c r="L46" s="51"/>
      <c r="M46" s="40"/>
      <c r="N46" s="40"/>
      <c r="O46" s="40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29"/>
      <c r="C47" s="22">
        <v>10.0</v>
      </c>
      <c r="D47" s="22">
        <v>16.2</v>
      </c>
      <c r="E47" s="22" t="s">
        <v>22</v>
      </c>
      <c r="F47" s="40"/>
      <c r="G47" s="40"/>
      <c r="H47" s="3"/>
      <c r="I47" s="3"/>
      <c r="J47" s="40"/>
      <c r="K47" s="51"/>
      <c r="L47" s="51"/>
      <c r="M47" s="40"/>
      <c r="N47" s="40"/>
      <c r="O47" s="40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29"/>
      <c r="C48" s="22">
        <v>11.0</v>
      </c>
      <c r="D48" s="22">
        <v>20.1</v>
      </c>
      <c r="E48" s="22" t="s">
        <v>22</v>
      </c>
      <c r="F48" s="40"/>
      <c r="G48" s="40"/>
      <c r="H48" s="3"/>
      <c r="I48" s="3"/>
      <c r="J48" s="40"/>
      <c r="K48" s="51"/>
      <c r="L48" s="51"/>
      <c r="M48" s="40"/>
      <c r="N48" s="40"/>
      <c r="O48" s="40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29"/>
      <c r="C49" s="22">
        <v>12.0</v>
      </c>
      <c r="D49" s="22">
        <v>12.4</v>
      </c>
      <c r="E49" s="22" t="s">
        <v>22</v>
      </c>
      <c r="F49" s="40"/>
      <c r="G49" s="40"/>
      <c r="H49" s="3"/>
      <c r="I49" s="3"/>
      <c r="J49" s="40"/>
      <c r="K49" s="51"/>
      <c r="L49" s="51"/>
      <c r="M49" s="40"/>
      <c r="N49" s="40"/>
      <c r="O49" s="40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29"/>
      <c r="C50" s="22">
        <v>13.0</v>
      </c>
      <c r="D50" s="22">
        <v>13.3</v>
      </c>
      <c r="E50" s="22" t="s">
        <v>22</v>
      </c>
      <c r="F50" s="40"/>
      <c r="G50" s="40"/>
      <c r="H50" s="3"/>
      <c r="I50" s="3"/>
      <c r="J50" s="40"/>
      <c r="K50" s="51"/>
      <c r="L50" s="57"/>
      <c r="M50" s="40"/>
      <c r="N50" s="40"/>
      <c r="O50" s="40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29"/>
      <c r="C51" s="22">
        <v>14.0</v>
      </c>
      <c r="D51" s="22">
        <v>11.9</v>
      </c>
      <c r="E51" s="22" t="s">
        <v>22</v>
      </c>
      <c r="F51" s="40"/>
      <c r="G51" s="40"/>
      <c r="H51" s="3"/>
      <c r="I51" s="3"/>
      <c r="J51" s="40"/>
      <c r="K51" s="51"/>
      <c r="L51" s="51"/>
      <c r="M51" s="40"/>
      <c r="N51" s="40"/>
      <c r="O51" s="40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29"/>
      <c r="C52" s="22">
        <v>15.0</v>
      </c>
      <c r="D52" s="22">
        <v>12.8</v>
      </c>
      <c r="E52" s="22" t="s">
        <v>22</v>
      </c>
      <c r="F52" s="40"/>
      <c r="G52" s="40"/>
      <c r="H52" s="3"/>
      <c r="I52" s="3"/>
      <c r="J52" s="40"/>
      <c r="K52" s="51"/>
      <c r="L52" s="51"/>
      <c r="M52" s="40"/>
      <c r="N52" s="40"/>
      <c r="O52" s="40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29"/>
      <c r="C53" s="22">
        <v>16.0</v>
      </c>
      <c r="D53" s="22">
        <v>16.6</v>
      </c>
      <c r="E53" s="22" t="s">
        <v>22</v>
      </c>
      <c r="F53" s="40"/>
      <c r="G53" s="40"/>
      <c r="H53" s="3"/>
      <c r="I53" s="3"/>
      <c r="J53" s="40"/>
      <c r="K53" s="51"/>
      <c r="L53" s="51"/>
      <c r="M53" s="40"/>
      <c r="N53" s="40"/>
      <c r="O53" s="40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29"/>
      <c r="C54" s="22">
        <v>17.0</v>
      </c>
      <c r="D54" s="22" t="s">
        <v>32</v>
      </c>
      <c r="E54" s="22" t="s">
        <v>33</v>
      </c>
      <c r="F54" s="40"/>
      <c r="G54" s="40"/>
      <c r="H54" s="3"/>
      <c r="I54" s="3"/>
      <c r="J54" s="40"/>
      <c r="K54" s="51"/>
      <c r="L54" s="51"/>
      <c r="M54" s="40"/>
      <c r="N54" s="40"/>
      <c r="O54" s="40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29"/>
      <c r="C55" s="22">
        <v>18.0</v>
      </c>
      <c r="D55" s="22">
        <v>14.5</v>
      </c>
      <c r="E55" s="22" t="s">
        <v>22</v>
      </c>
      <c r="F55" s="4"/>
      <c r="G55" s="58"/>
      <c r="H55" s="58"/>
      <c r="I55" s="3"/>
      <c r="J55" s="40"/>
      <c r="K55" s="51"/>
      <c r="L55" s="57"/>
      <c r="M55" s="40"/>
      <c r="N55" s="40"/>
      <c r="O55" s="40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29"/>
      <c r="C56" s="22">
        <v>19.0</v>
      </c>
      <c r="D56" s="22" t="s">
        <v>32</v>
      </c>
      <c r="E56" s="22" t="s">
        <v>33</v>
      </c>
      <c r="F56" s="59"/>
      <c r="G56" s="58"/>
      <c r="H56" s="58"/>
      <c r="I56" s="3"/>
      <c r="J56" s="40"/>
      <c r="K56" s="51"/>
      <c r="L56" s="51"/>
      <c r="M56" s="40"/>
      <c r="N56" s="40"/>
      <c r="O56" s="40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29"/>
      <c r="C57" s="22">
        <v>20.0</v>
      </c>
      <c r="D57" s="22">
        <v>11.2</v>
      </c>
      <c r="E57" s="22" t="s">
        <v>22</v>
      </c>
      <c r="F57" s="4"/>
      <c r="G57" s="58"/>
      <c r="H57" s="58"/>
      <c r="I57" s="3"/>
      <c r="J57" s="40"/>
      <c r="K57" s="51"/>
      <c r="L57" s="57"/>
      <c r="M57" s="40"/>
      <c r="N57" s="40"/>
      <c r="O57" s="40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29"/>
      <c r="C58" s="22">
        <v>21.0</v>
      </c>
      <c r="D58" s="22" t="s">
        <v>32</v>
      </c>
      <c r="E58" s="22" t="s">
        <v>33</v>
      </c>
      <c r="F58" s="59"/>
      <c r="G58" s="58"/>
      <c r="H58" s="58"/>
      <c r="I58" s="3"/>
      <c r="J58" s="40"/>
      <c r="K58" s="51"/>
      <c r="L58" s="57"/>
      <c r="M58" s="40"/>
      <c r="N58" s="40"/>
      <c r="O58" s="40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60" t="s">
        <v>26</v>
      </c>
      <c r="C59" s="61">
        <v>1.0</v>
      </c>
      <c r="D59" s="62">
        <v>19.0</v>
      </c>
      <c r="E59" s="22" t="s">
        <v>22</v>
      </c>
      <c r="F59" s="4"/>
      <c r="G59" s="58"/>
      <c r="H59" s="58"/>
      <c r="I59" s="3"/>
      <c r="J59" s="35"/>
      <c r="K59" s="51"/>
      <c r="L59" s="51"/>
      <c r="M59" s="40"/>
      <c r="N59" s="40"/>
      <c r="O59" s="40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63"/>
      <c r="C60" s="64">
        <v>2.0</v>
      </c>
      <c r="D60" s="22" t="s">
        <v>32</v>
      </c>
      <c r="E60" s="22" t="s">
        <v>33</v>
      </c>
      <c r="F60" s="59"/>
      <c r="G60" s="58"/>
      <c r="H60" s="58"/>
      <c r="I60" s="3"/>
      <c r="J60" s="40"/>
      <c r="K60" s="51"/>
      <c r="L60" s="51"/>
      <c r="M60" s="40"/>
      <c r="N60" s="40"/>
      <c r="O60" s="40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65"/>
      <c r="C61" s="66">
        <v>3.0</v>
      </c>
      <c r="D61" s="22" t="s">
        <v>32</v>
      </c>
      <c r="E61" s="22" t="s">
        <v>33</v>
      </c>
      <c r="F61" s="3"/>
      <c r="G61" s="3"/>
      <c r="H61" s="3"/>
      <c r="I61" s="3"/>
      <c r="J61" s="2"/>
      <c r="K61" s="51"/>
      <c r="L61" s="51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63"/>
      <c r="C62" s="66">
        <v>4.0</v>
      </c>
      <c r="D62" s="22">
        <v>15.7</v>
      </c>
      <c r="E62" s="22" t="s">
        <v>22</v>
      </c>
      <c r="F62" s="3"/>
      <c r="G62" s="3"/>
      <c r="H62" s="3"/>
      <c r="I62" s="3"/>
      <c r="J62" s="3"/>
      <c r="K62" s="51"/>
      <c r="L62" s="51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65"/>
      <c r="C63" s="66">
        <v>5.0</v>
      </c>
      <c r="D63" s="22" t="s">
        <v>32</v>
      </c>
      <c r="E63" s="22" t="s">
        <v>33</v>
      </c>
      <c r="F63" s="3"/>
      <c r="G63" s="3"/>
      <c r="H63" s="3"/>
      <c r="I63" s="3"/>
      <c r="J63" s="2"/>
      <c r="K63" s="51"/>
      <c r="L63" s="51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67"/>
      <c r="C64" s="22">
        <v>6.0</v>
      </c>
      <c r="D64" s="22">
        <v>11.8</v>
      </c>
      <c r="E64" s="22" t="s">
        <v>22</v>
      </c>
      <c r="F64" s="3"/>
      <c r="G64" s="3"/>
      <c r="H64" s="3"/>
      <c r="I64" s="3"/>
      <c r="J64" s="3"/>
      <c r="K64" s="51"/>
      <c r="L64" s="51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B65" s="68"/>
      <c r="C65" s="22">
        <v>7.0</v>
      </c>
      <c r="D65" s="62">
        <v>11.0</v>
      </c>
      <c r="E65" s="22" t="s">
        <v>22</v>
      </c>
    </row>
    <row r="66">
      <c r="B66" s="68"/>
      <c r="C66" s="22">
        <v>8.0</v>
      </c>
      <c r="D66" s="22" t="s">
        <v>32</v>
      </c>
      <c r="E66" s="22" t="s">
        <v>33</v>
      </c>
    </row>
    <row r="67">
      <c r="B67" s="68"/>
      <c r="C67" s="22">
        <v>9.0</v>
      </c>
      <c r="D67" s="22">
        <v>14.1</v>
      </c>
      <c r="E67" s="22" t="s">
        <v>22</v>
      </c>
    </row>
    <row r="68">
      <c r="B68" s="68"/>
      <c r="C68" s="22">
        <v>10.0</v>
      </c>
      <c r="D68" s="22" t="s">
        <v>32</v>
      </c>
      <c r="E68" s="22" t="s">
        <v>33</v>
      </c>
    </row>
    <row r="69">
      <c r="B69" s="68"/>
      <c r="C69" s="22">
        <v>11.0</v>
      </c>
      <c r="D69" s="22" t="s">
        <v>32</v>
      </c>
      <c r="E69" s="22" t="s">
        <v>33</v>
      </c>
    </row>
    <row r="70">
      <c r="B70" s="68"/>
      <c r="C70" s="22">
        <v>12.0</v>
      </c>
      <c r="D70" s="22" t="s">
        <v>32</v>
      </c>
      <c r="E70" s="22" t="s">
        <v>33</v>
      </c>
    </row>
    <row r="71">
      <c r="B71" s="68"/>
      <c r="C71" s="22">
        <v>13.0</v>
      </c>
      <c r="D71" s="22" t="s">
        <v>32</v>
      </c>
      <c r="E71" s="22" t="s">
        <v>33</v>
      </c>
    </row>
    <row r="72">
      <c r="B72" s="68"/>
      <c r="C72" s="22">
        <v>14.0</v>
      </c>
      <c r="D72" s="22" t="s">
        <v>32</v>
      </c>
      <c r="E72" s="22" t="s">
        <v>33</v>
      </c>
    </row>
    <row r="73">
      <c r="B73" s="68"/>
      <c r="C73" s="22">
        <v>15.0</v>
      </c>
      <c r="D73" s="22">
        <v>18.1</v>
      </c>
      <c r="E73" s="22" t="s">
        <v>22</v>
      </c>
    </row>
    <row r="74">
      <c r="B74" s="68"/>
      <c r="C74" s="22">
        <v>16.0</v>
      </c>
      <c r="D74" s="22" t="s">
        <v>32</v>
      </c>
      <c r="E74" s="22" t="s">
        <v>33</v>
      </c>
    </row>
    <row r="75">
      <c r="B75" s="68"/>
      <c r="C75" s="22">
        <v>17.0</v>
      </c>
      <c r="D75" s="22" t="s">
        <v>32</v>
      </c>
      <c r="E75" s="22" t="s">
        <v>33</v>
      </c>
    </row>
    <row r="76">
      <c r="B76" s="68"/>
      <c r="C76" s="22">
        <v>18.0</v>
      </c>
      <c r="D76" s="22" t="s">
        <v>32</v>
      </c>
      <c r="E76" s="22" t="s">
        <v>33</v>
      </c>
    </row>
    <row r="77">
      <c r="B77" s="68"/>
      <c r="C77" s="22">
        <v>19.0</v>
      </c>
      <c r="D77" s="22" t="s">
        <v>32</v>
      </c>
      <c r="E77" s="22" t="s">
        <v>33</v>
      </c>
    </row>
    <row r="78">
      <c r="B78" s="68"/>
      <c r="C78" s="22">
        <v>20.0</v>
      </c>
      <c r="D78" s="22">
        <v>17.2</v>
      </c>
      <c r="E78" s="22" t="s">
        <v>22</v>
      </c>
    </row>
    <row r="79">
      <c r="B79" s="68"/>
      <c r="C79" s="22">
        <v>21.0</v>
      </c>
      <c r="D79" s="22">
        <v>10.9</v>
      </c>
      <c r="E79" s="22" t="s">
        <v>22</v>
      </c>
    </row>
    <row r="80">
      <c r="B80" s="69" t="s">
        <v>34</v>
      </c>
      <c r="C80" s="61">
        <v>1.0</v>
      </c>
      <c r="D80" s="22" t="s">
        <v>32</v>
      </c>
      <c r="E80" s="22" t="s">
        <v>33</v>
      </c>
    </row>
    <row r="81">
      <c r="B81" s="63"/>
      <c r="C81" s="64">
        <v>2.0</v>
      </c>
      <c r="D81" s="22" t="s">
        <v>32</v>
      </c>
      <c r="E81" s="22" t="s">
        <v>33</v>
      </c>
    </row>
    <row r="82">
      <c r="B82" s="63"/>
      <c r="C82" s="66">
        <v>3.0</v>
      </c>
      <c r="D82" s="22" t="s">
        <v>32</v>
      </c>
      <c r="E82" s="22" t="s">
        <v>33</v>
      </c>
    </row>
    <row r="83">
      <c r="B83" s="65" t="s">
        <v>35</v>
      </c>
      <c r="C83" s="64">
        <v>1.0</v>
      </c>
      <c r="D83" s="22" t="s">
        <v>32</v>
      </c>
      <c r="E83" s="22" t="s">
        <v>33</v>
      </c>
    </row>
    <row r="84">
      <c r="B84" s="63"/>
      <c r="C84" s="64">
        <v>2.0</v>
      </c>
      <c r="D84" s="22" t="s">
        <v>32</v>
      </c>
      <c r="E84" s="22" t="s">
        <v>33</v>
      </c>
    </row>
    <row r="85">
      <c r="B85" s="63"/>
      <c r="C85" s="66">
        <v>3.0</v>
      </c>
      <c r="D85" s="22" t="s">
        <v>32</v>
      </c>
      <c r="E85" s="22" t="s">
        <v>33</v>
      </c>
    </row>
    <row r="86">
      <c r="B86" s="63"/>
      <c r="C86" s="66">
        <v>4.0</v>
      </c>
      <c r="D86" s="22" t="s">
        <v>32</v>
      </c>
      <c r="E86" s="22" t="s">
        <v>33</v>
      </c>
    </row>
    <row r="87">
      <c r="B87" s="63"/>
      <c r="C87" s="66">
        <v>5.0</v>
      </c>
      <c r="D87" s="22" t="s">
        <v>32</v>
      </c>
      <c r="E87" s="22" t="s">
        <v>33</v>
      </c>
    </row>
    <row r="88">
      <c r="B88" s="65" t="s">
        <v>36</v>
      </c>
      <c r="C88" s="64">
        <v>1.0</v>
      </c>
      <c r="D88" s="22">
        <v>10.5</v>
      </c>
      <c r="E88" s="22" t="s">
        <v>22</v>
      </c>
    </row>
    <row r="89">
      <c r="B89" s="70"/>
      <c r="C89" s="39"/>
      <c r="D89" s="3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  <col customWidth="1" min="3" max="8" width="9.88"/>
  </cols>
  <sheetData>
    <row r="1">
      <c r="A1" s="1" t="s">
        <v>43</v>
      </c>
    </row>
    <row r="3">
      <c r="B3" s="71" t="s">
        <v>44</v>
      </c>
    </row>
    <row r="5">
      <c r="B5" s="72" t="s">
        <v>45</v>
      </c>
      <c r="C5" s="73" t="s">
        <v>46</v>
      </c>
      <c r="D5" s="74"/>
      <c r="E5" s="73" t="s">
        <v>47</v>
      </c>
      <c r="F5" s="74"/>
      <c r="G5" s="73" t="s">
        <v>48</v>
      </c>
      <c r="H5" s="74"/>
    </row>
    <row r="6">
      <c r="B6" s="72" t="s">
        <v>49</v>
      </c>
      <c r="C6" s="75">
        <v>195.0</v>
      </c>
      <c r="D6" s="74"/>
      <c r="E6" s="75">
        <v>169.0</v>
      </c>
      <c r="F6" s="74"/>
      <c r="G6" s="75">
        <v>168.0</v>
      </c>
      <c r="H6" s="74"/>
    </row>
    <row r="7">
      <c r="B7" s="72" t="s">
        <v>50</v>
      </c>
      <c r="C7" s="76">
        <v>498224.0</v>
      </c>
      <c r="D7" s="68"/>
      <c r="E7" s="76">
        <v>498224.0</v>
      </c>
      <c r="F7" s="68"/>
      <c r="G7" s="76">
        <v>498224.0</v>
      </c>
      <c r="H7" s="68"/>
    </row>
    <row r="8">
      <c r="B8" s="72" t="s">
        <v>51</v>
      </c>
      <c r="C8" s="76">
        <v>474717.0</v>
      </c>
      <c r="D8" s="77">
        <f t="shared" ref="D8:D16" si="1">C8/C$7</f>
        <v>0.952818411</v>
      </c>
      <c r="E8" s="76">
        <v>479548.0</v>
      </c>
      <c r="F8" s="77">
        <f t="shared" ref="F8:F16" si="2">E8/E$7</f>
        <v>0.9625148528</v>
      </c>
      <c r="G8" s="76">
        <v>462538.0</v>
      </c>
      <c r="H8" s="77">
        <f t="shared" ref="H8:H16" si="3">G8/G$7</f>
        <v>0.928373583</v>
      </c>
    </row>
    <row r="9">
      <c r="B9" s="72" t="s">
        <v>52</v>
      </c>
      <c r="C9" s="76">
        <v>19301.0</v>
      </c>
      <c r="D9" s="77">
        <f t="shared" si="1"/>
        <v>0.03873960307</v>
      </c>
      <c r="E9" s="76">
        <v>15698.0</v>
      </c>
      <c r="F9" s="77">
        <f t="shared" si="2"/>
        <v>0.03150791612</v>
      </c>
      <c r="G9" s="76">
        <v>30626.0</v>
      </c>
      <c r="H9" s="77">
        <f t="shared" si="3"/>
        <v>0.06147034266</v>
      </c>
    </row>
    <row r="10">
      <c r="B10" s="72" t="s">
        <v>53</v>
      </c>
      <c r="C10" s="76">
        <v>338.0</v>
      </c>
      <c r="D10" s="77">
        <f t="shared" si="1"/>
        <v>0.0006784097113</v>
      </c>
      <c r="E10" s="76">
        <v>161.0</v>
      </c>
      <c r="F10" s="77">
        <f t="shared" si="2"/>
        <v>0.0003231478211</v>
      </c>
      <c r="G10" s="76">
        <v>1455.0</v>
      </c>
      <c r="H10" s="77">
        <f t="shared" si="3"/>
        <v>0.002920373165</v>
      </c>
    </row>
    <row r="11">
      <c r="B11" s="72" t="s">
        <v>54</v>
      </c>
      <c r="C11" s="76">
        <v>9.0</v>
      </c>
      <c r="D11" s="77">
        <f t="shared" si="1"/>
        <v>0.00001806416391</v>
      </c>
      <c r="E11" s="76">
        <v>5.0</v>
      </c>
      <c r="F11" s="77">
        <f t="shared" si="2"/>
        <v>0.00001003564662</v>
      </c>
      <c r="G11" s="76">
        <v>103.0</v>
      </c>
      <c r="H11" s="77">
        <f t="shared" si="3"/>
        <v>0.0002067343203</v>
      </c>
    </row>
    <row r="12">
      <c r="B12" s="72" t="s">
        <v>55</v>
      </c>
      <c r="C12" s="78">
        <v>0.0</v>
      </c>
      <c r="D12" s="77">
        <f t="shared" si="1"/>
        <v>0</v>
      </c>
      <c r="E12" s="78">
        <v>0.0</v>
      </c>
      <c r="F12" s="77">
        <f t="shared" si="2"/>
        <v>0</v>
      </c>
      <c r="G12" s="78">
        <v>1.0</v>
      </c>
      <c r="H12" s="77">
        <f t="shared" si="3"/>
        <v>0.000002007129323</v>
      </c>
    </row>
    <row r="13">
      <c r="B13" s="72" t="s">
        <v>56</v>
      </c>
      <c r="C13" s="76">
        <v>3859.0</v>
      </c>
      <c r="D13" s="77">
        <f t="shared" si="1"/>
        <v>0.007745512059</v>
      </c>
      <c r="E13" s="76">
        <v>2812.0</v>
      </c>
      <c r="F13" s="77">
        <f t="shared" si="2"/>
        <v>0.005644047657</v>
      </c>
      <c r="G13" s="76">
        <v>3501.0</v>
      </c>
      <c r="H13" s="77">
        <f t="shared" si="3"/>
        <v>0.007026959761</v>
      </c>
    </row>
    <row r="14">
      <c r="B14" s="72" t="s">
        <v>57</v>
      </c>
      <c r="C14" s="76">
        <v>2021.0</v>
      </c>
      <c r="D14" s="77">
        <f t="shared" si="1"/>
        <v>0.004056408363</v>
      </c>
      <c r="E14" s="76">
        <v>1302.0</v>
      </c>
      <c r="F14" s="77">
        <f t="shared" si="2"/>
        <v>0.002613282379</v>
      </c>
      <c r="G14" s="76">
        <v>1728.0</v>
      </c>
      <c r="H14" s="77">
        <f t="shared" si="3"/>
        <v>0.003468319471</v>
      </c>
    </row>
    <row r="15">
      <c r="B15" s="72" t="s">
        <v>58</v>
      </c>
      <c r="C15" s="76">
        <v>357.0</v>
      </c>
      <c r="D15" s="77">
        <f t="shared" si="1"/>
        <v>0.0007165451684</v>
      </c>
      <c r="E15" s="76">
        <v>211.0</v>
      </c>
      <c r="F15" s="77">
        <f t="shared" si="2"/>
        <v>0.0004235042872</v>
      </c>
      <c r="G15" s="76">
        <v>291.0</v>
      </c>
      <c r="H15" s="77">
        <f t="shared" si="3"/>
        <v>0.0005840746331</v>
      </c>
    </row>
    <row r="16">
      <c r="B16" s="72" t="s">
        <v>59</v>
      </c>
      <c r="C16" s="76">
        <v>1481.0</v>
      </c>
      <c r="D16" s="77">
        <f t="shared" si="1"/>
        <v>0.002972558528</v>
      </c>
      <c r="E16" s="76">
        <v>1299.0</v>
      </c>
      <c r="F16" s="77">
        <f t="shared" si="2"/>
        <v>0.002607260991</v>
      </c>
      <c r="G16" s="76">
        <v>1482.0</v>
      </c>
      <c r="H16" s="77">
        <f t="shared" si="3"/>
        <v>0.002974565657</v>
      </c>
    </row>
  </sheetData>
  <mergeCells count="6">
    <mergeCell ref="C5:D5"/>
    <mergeCell ref="E5:F5"/>
    <mergeCell ref="G5:H5"/>
    <mergeCell ref="C6:D6"/>
    <mergeCell ref="E6:F6"/>
    <mergeCell ref="G6:H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4" max="4" width="22.0"/>
    <col customWidth="1" min="5" max="5" width="26.13"/>
    <col customWidth="1" min="6" max="6" width="14.13"/>
    <col customWidth="1" min="7" max="7" width="17.88"/>
  </cols>
  <sheetData>
    <row r="1">
      <c r="A1" s="79" t="s">
        <v>60</v>
      </c>
    </row>
    <row r="3">
      <c r="B3" s="2" t="s">
        <v>12</v>
      </c>
      <c r="C3" s="3"/>
      <c r="D3" s="3"/>
      <c r="E3" s="3"/>
      <c r="F3" s="2"/>
      <c r="G3" s="80" t="s">
        <v>1</v>
      </c>
      <c r="H3" s="13"/>
      <c r="I3" s="13"/>
      <c r="J3" s="13"/>
      <c r="K3" s="59"/>
    </row>
    <row r="4">
      <c r="B4" s="81" t="s">
        <v>61</v>
      </c>
      <c r="C4" s="15" t="s">
        <v>15</v>
      </c>
      <c r="D4" s="16" t="s">
        <v>16</v>
      </c>
      <c r="E4" s="16" t="s">
        <v>17</v>
      </c>
      <c r="F4" s="46"/>
      <c r="G4" s="82"/>
      <c r="H4" s="83">
        <v>4.0</v>
      </c>
      <c r="I4" s="83">
        <v>5.0</v>
      </c>
      <c r="J4" s="84">
        <v>6.0</v>
      </c>
      <c r="K4" s="84">
        <v>7.0</v>
      </c>
    </row>
    <row r="5">
      <c r="B5" s="29" t="s">
        <v>62</v>
      </c>
      <c r="C5" s="22">
        <v>1.0</v>
      </c>
      <c r="D5" s="24" t="s">
        <v>32</v>
      </c>
      <c r="E5" s="24" t="s">
        <v>33</v>
      </c>
      <c r="F5" s="40"/>
      <c r="G5" s="85" t="s">
        <v>2</v>
      </c>
      <c r="H5" s="64"/>
      <c r="I5" s="64"/>
      <c r="J5" s="86"/>
      <c r="K5" s="86" t="s">
        <v>63</v>
      </c>
    </row>
    <row r="6">
      <c r="B6" s="29"/>
      <c r="C6" s="22">
        <v>2.0</v>
      </c>
      <c r="D6" s="24" t="s">
        <v>32</v>
      </c>
      <c r="E6" s="24" t="s">
        <v>33</v>
      </c>
      <c r="F6" s="40"/>
      <c r="G6" s="87" t="s">
        <v>3</v>
      </c>
      <c r="H6" s="64"/>
      <c r="I6" s="64"/>
      <c r="J6" s="64"/>
      <c r="K6" s="86" t="s">
        <v>63</v>
      </c>
    </row>
    <row r="7">
      <c r="B7" s="29"/>
      <c r="C7" s="22">
        <v>3.0</v>
      </c>
      <c r="D7" s="24" t="s">
        <v>32</v>
      </c>
      <c r="E7" s="24" t="s">
        <v>33</v>
      </c>
      <c r="F7" s="40"/>
      <c r="G7" s="85" t="s">
        <v>4</v>
      </c>
      <c r="H7" s="64"/>
      <c r="I7" s="64"/>
      <c r="J7" s="64"/>
      <c r="K7" s="86" t="s">
        <v>63</v>
      </c>
    </row>
    <row r="8">
      <c r="B8" s="29" t="s">
        <v>64</v>
      </c>
      <c r="C8" s="22">
        <v>1.0</v>
      </c>
      <c r="D8" s="24" t="s">
        <v>32</v>
      </c>
      <c r="E8" s="24" t="s">
        <v>33</v>
      </c>
      <c r="F8" s="40"/>
      <c r="G8" s="6" t="s">
        <v>5</v>
      </c>
      <c r="H8" s="86"/>
      <c r="I8" s="86"/>
      <c r="J8" s="86"/>
      <c r="K8" s="27" t="s">
        <v>10</v>
      </c>
    </row>
    <row r="9">
      <c r="B9" s="29"/>
      <c r="C9" s="22">
        <v>2.0</v>
      </c>
      <c r="D9" s="24" t="s">
        <v>32</v>
      </c>
      <c r="E9" s="24" t="s">
        <v>33</v>
      </c>
      <c r="F9" s="40"/>
      <c r="G9" s="6" t="s">
        <v>6</v>
      </c>
      <c r="H9" s="86" t="s">
        <v>62</v>
      </c>
      <c r="I9" s="86" t="s">
        <v>62</v>
      </c>
      <c r="J9" s="86" t="s">
        <v>62</v>
      </c>
      <c r="K9" s="27" t="s">
        <v>10</v>
      </c>
    </row>
    <row r="10">
      <c r="B10" s="29"/>
      <c r="C10" s="22">
        <v>3.0</v>
      </c>
      <c r="D10" s="24" t="s">
        <v>32</v>
      </c>
      <c r="E10" s="24" t="s">
        <v>33</v>
      </c>
      <c r="F10" s="40"/>
      <c r="G10" s="88" t="s">
        <v>7</v>
      </c>
      <c r="H10" s="86" t="s">
        <v>64</v>
      </c>
      <c r="I10" s="86" t="s">
        <v>64</v>
      </c>
      <c r="J10" s="86" t="s">
        <v>64</v>
      </c>
      <c r="K10" s="27" t="s">
        <v>11</v>
      </c>
    </row>
    <row r="11">
      <c r="B11" s="29" t="s">
        <v>65</v>
      </c>
      <c r="C11" s="22">
        <v>1.0</v>
      </c>
      <c r="D11" s="24" t="s">
        <v>32</v>
      </c>
      <c r="E11" s="24" t="s">
        <v>33</v>
      </c>
      <c r="F11" s="40"/>
      <c r="G11" s="89" t="s">
        <v>8</v>
      </c>
      <c r="H11" s="86" t="s">
        <v>65</v>
      </c>
      <c r="I11" s="86" t="s">
        <v>65</v>
      </c>
      <c r="J11" s="86" t="s">
        <v>65</v>
      </c>
      <c r="K11" s="27" t="s">
        <v>11</v>
      </c>
    </row>
    <row r="12">
      <c r="B12" s="29"/>
      <c r="C12" s="22">
        <v>2.0</v>
      </c>
      <c r="D12" s="24" t="s">
        <v>32</v>
      </c>
      <c r="E12" s="24" t="s">
        <v>33</v>
      </c>
      <c r="F12" s="40"/>
      <c r="G12" s="89" t="s">
        <v>9</v>
      </c>
      <c r="H12" s="86" t="s">
        <v>66</v>
      </c>
      <c r="I12" s="86" t="s">
        <v>66</v>
      </c>
      <c r="J12" s="86" t="s">
        <v>66</v>
      </c>
      <c r="K12" s="27" t="s">
        <v>11</v>
      </c>
    </row>
    <row r="13">
      <c r="B13" s="29"/>
      <c r="C13" s="22">
        <v>3.0</v>
      </c>
      <c r="D13" s="24" t="s">
        <v>32</v>
      </c>
      <c r="E13" s="24" t="s">
        <v>33</v>
      </c>
      <c r="F13" s="40"/>
      <c r="G13" s="40"/>
      <c r="H13" s="3"/>
      <c r="I13" s="3"/>
    </row>
    <row r="14">
      <c r="B14" s="29" t="s">
        <v>66</v>
      </c>
      <c r="C14" s="22">
        <v>1.0</v>
      </c>
      <c r="D14" s="24" t="s">
        <v>32</v>
      </c>
      <c r="E14" s="24" t="s">
        <v>33</v>
      </c>
      <c r="F14" s="40"/>
      <c r="G14" s="40"/>
      <c r="H14" s="3"/>
      <c r="I14" s="3"/>
    </row>
    <row r="15">
      <c r="B15" s="29"/>
      <c r="C15" s="22">
        <v>2.0</v>
      </c>
      <c r="D15" s="24" t="s">
        <v>32</v>
      </c>
      <c r="E15" s="24" t="s">
        <v>33</v>
      </c>
      <c r="F15" s="40"/>
      <c r="G15" s="40"/>
      <c r="H15" s="3"/>
      <c r="I15" s="3"/>
      <c r="J15" s="3"/>
      <c r="K15" s="3"/>
      <c r="L15" s="3"/>
    </row>
    <row r="16">
      <c r="B16" s="29"/>
      <c r="C16" s="22">
        <v>3.0</v>
      </c>
      <c r="D16" s="24" t="s">
        <v>32</v>
      </c>
      <c r="E16" s="24" t="s">
        <v>33</v>
      </c>
      <c r="F16" s="40"/>
      <c r="G16" s="40"/>
      <c r="H16" s="3"/>
      <c r="I16" s="3"/>
      <c r="J16" s="3"/>
      <c r="K16" s="3"/>
      <c r="L16" s="3"/>
    </row>
    <row r="17">
      <c r="B17" s="29" t="s">
        <v>63</v>
      </c>
      <c r="C17" s="22">
        <v>1.0</v>
      </c>
      <c r="D17" s="24" t="s">
        <v>32</v>
      </c>
      <c r="E17" s="24" t="s">
        <v>33</v>
      </c>
      <c r="F17" s="40"/>
      <c r="G17" s="40"/>
      <c r="H17" s="3"/>
      <c r="I17" s="3"/>
      <c r="J17" s="3"/>
      <c r="K17" s="3"/>
      <c r="L17" s="3"/>
    </row>
    <row r="18">
      <c r="B18" s="29"/>
      <c r="C18" s="22">
        <v>2.0</v>
      </c>
      <c r="D18" s="24" t="s">
        <v>32</v>
      </c>
      <c r="E18" s="24" t="s">
        <v>33</v>
      </c>
      <c r="F18" s="40"/>
      <c r="G18" s="40"/>
      <c r="H18" s="3"/>
      <c r="I18" s="3"/>
      <c r="J18" s="3"/>
      <c r="K18" s="3"/>
      <c r="L18" s="3"/>
    </row>
    <row r="19">
      <c r="B19" s="29"/>
      <c r="C19" s="22">
        <v>3.0</v>
      </c>
      <c r="D19" s="23" t="s">
        <v>32</v>
      </c>
      <c r="E19" s="24" t="s">
        <v>33</v>
      </c>
      <c r="F19" s="40"/>
      <c r="G19" s="40"/>
      <c r="H19" s="3"/>
      <c r="I19" s="3"/>
      <c r="J19" s="3"/>
      <c r="K19" s="3"/>
      <c r="L19" s="3"/>
    </row>
    <row r="20">
      <c r="B20" s="21" t="s">
        <v>11</v>
      </c>
      <c r="C20" s="22">
        <v>1.0</v>
      </c>
      <c r="D20" s="23">
        <v>14.47163937023402</v>
      </c>
      <c r="E20" s="24" t="s">
        <v>22</v>
      </c>
      <c r="F20" s="3"/>
      <c r="G20" s="3"/>
      <c r="H20" s="3"/>
      <c r="I20" s="3"/>
      <c r="J20" s="3"/>
      <c r="K20" s="3"/>
      <c r="L20" s="3"/>
    </row>
    <row r="21">
      <c r="B21" s="29"/>
      <c r="C21" s="22">
        <v>2.0</v>
      </c>
      <c r="D21" s="23">
        <v>15.26357328072924</v>
      </c>
      <c r="E21" s="24" t="s">
        <v>22</v>
      </c>
      <c r="F21" s="3"/>
      <c r="G21" s="3"/>
      <c r="H21" s="3"/>
      <c r="I21" s="3"/>
      <c r="J21" s="3"/>
      <c r="K21" s="3"/>
      <c r="L21" s="3"/>
    </row>
    <row r="22">
      <c r="B22" s="29"/>
      <c r="C22" s="24">
        <v>3.0</v>
      </c>
      <c r="D22" s="23">
        <v>15.013189208014246</v>
      </c>
      <c r="E22" s="24" t="s">
        <v>22</v>
      </c>
      <c r="F22" s="3"/>
      <c r="G22" s="3"/>
      <c r="H22" s="3"/>
      <c r="I22" s="3"/>
      <c r="J22" s="3"/>
      <c r="K22" s="3"/>
      <c r="L22" s="3"/>
    </row>
    <row r="23">
      <c r="B23" s="21" t="s">
        <v>35</v>
      </c>
      <c r="C23" s="22">
        <v>1.0</v>
      </c>
      <c r="D23" s="24" t="s">
        <v>32</v>
      </c>
      <c r="E23" s="24" t="s">
        <v>33</v>
      </c>
      <c r="F23" s="3"/>
      <c r="G23" s="3"/>
      <c r="H23" s="3"/>
      <c r="I23" s="3"/>
      <c r="J23" s="3"/>
      <c r="K23" s="3"/>
      <c r="L23" s="3"/>
    </row>
    <row r="24">
      <c r="B24" s="21"/>
      <c r="C24" s="24">
        <v>2.0</v>
      </c>
      <c r="D24" s="24" t="s">
        <v>32</v>
      </c>
      <c r="E24" s="24" t="s">
        <v>33</v>
      </c>
      <c r="F24" s="3"/>
      <c r="G24" s="3"/>
      <c r="H24" s="3"/>
      <c r="I24" s="3"/>
      <c r="J24" s="3"/>
      <c r="K24" s="3"/>
      <c r="L24" s="3"/>
    </row>
    <row r="2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>
      <c r="B26" s="2" t="s">
        <v>67</v>
      </c>
      <c r="C26" s="3"/>
      <c r="D26" s="3"/>
      <c r="E26" s="3"/>
      <c r="F26" s="3"/>
      <c r="G26" s="3"/>
      <c r="H26" s="3"/>
      <c r="I26" s="3"/>
      <c r="J26" s="3"/>
      <c r="K26" s="3"/>
      <c r="L26" s="3"/>
    </row>
    <row r="27">
      <c r="B27" s="81" t="s">
        <v>61</v>
      </c>
      <c r="C27" s="15" t="s">
        <v>68</v>
      </c>
      <c r="D27" s="15" t="s">
        <v>69</v>
      </c>
      <c r="E27" s="81" t="s">
        <v>70</v>
      </c>
      <c r="F27" s="15" t="s">
        <v>71</v>
      </c>
      <c r="G27" s="15" t="s">
        <v>72</v>
      </c>
      <c r="H27" s="3"/>
      <c r="I27" s="3"/>
      <c r="J27" s="3"/>
      <c r="K27" s="3"/>
      <c r="L27" s="3"/>
    </row>
    <row r="28">
      <c r="B28" s="29" t="s">
        <v>62</v>
      </c>
      <c r="C28" s="22" t="s">
        <v>73</v>
      </c>
      <c r="D28" s="29" t="s">
        <v>74</v>
      </c>
      <c r="E28" s="29" t="s">
        <v>75</v>
      </c>
      <c r="F28" s="90" t="s">
        <v>76</v>
      </c>
      <c r="G28" s="90" t="s">
        <v>77</v>
      </c>
      <c r="H28" s="3"/>
      <c r="I28" s="3"/>
      <c r="J28" s="3"/>
      <c r="K28" s="3"/>
      <c r="L28" s="3"/>
    </row>
    <row r="29">
      <c r="B29" s="29" t="s">
        <v>64</v>
      </c>
      <c r="C29" s="22" t="s">
        <v>78</v>
      </c>
      <c r="D29" s="29" t="s">
        <v>79</v>
      </c>
      <c r="E29" s="29" t="s">
        <v>80</v>
      </c>
      <c r="F29" s="90" t="s">
        <v>81</v>
      </c>
      <c r="G29" s="90">
        <v>359.0</v>
      </c>
      <c r="H29" s="3"/>
      <c r="I29" s="3"/>
      <c r="J29" s="3"/>
      <c r="K29" s="3"/>
      <c r="L29" s="3"/>
    </row>
    <row r="30">
      <c r="B30" s="29" t="s">
        <v>65</v>
      </c>
      <c r="C30" s="22" t="s">
        <v>82</v>
      </c>
      <c r="D30" s="29" t="s">
        <v>83</v>
      </c>
      <c r="E30" s="29" t="s">
        <v>84</v>
      </c>
      <c r="F30" s="90" t="s">
        <v>85</v>
      </c>
      <c r="G30" s="90">
        <v>6.1727102E7</v>
      </c>
      <c r="H30" s="3"/>
      <c r="I30" s="3"/>
      <c r="J30" s="3"/>
      <c r="K30" s="3"/>
      <c r="L30" s="3"/>
    </row>
    <row r="31">
      <c r="B31" s="29" t="s">
        <v>66</v>
      </c>
      <c r="C31" s="22" t="s">
        <v>86</v>
      </c>
      <c r="D31" s="29" t="s">
        <v>87</v>
      </c>
      <c r="E31" s="29" t="s">
        <v>88</v>
      </c>
      <c r="F31" s="90" t="s">
        <v>89</v>
      </c>
      <c r="G31" s="90">
        <v>7.0027288E7</v>
      </c>
      <c r="H31" s="3"/>
      <c r="I31" s="3"/>
      <c r="J31" s="3"/>
      <c r="K31" s="3"/>
      <c r="L31" s="3"/>
    </row>
    <row r="32">
      <c r="B32" s="29" t="s">
        <v>63</v>
      </c>
      <c r="C32" s="22" t="s">
        <v>90</v>
      </c>
      <c r="D32" s="21" t="s">
        <v>91</v>
      </c>
      <c r="E32" s="29" t="s">
        <v>92</v>
      </c>
      <c r="F32" s="90" t="s">
        <v>93</v>
      </c>
      <c r="G32" s="90">
        <v>7.0032423E7</v>
      </c>
      <c r="H32" s="3"/>
      <c r="I32" s="3"/>
      <c r="J32" s="3"/>
      <c r="K32" s="3"/>
      <c r="L32" s="3"/>
    </row>
    <row r="3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>
      <c r="D34" s="12" t="s">
        <v>13</v>
      </c>
    </row>
    <row r="35">
      <c r="D35" s="15" t="s">
        <v>69</v>
      </c>
      <c r="E35" s="81" t="s">
        <v>70</v>
      </c>
      <c r="F35" s="15" t="s">
        <v>68</v>
      </c>
      <c r="G35" s="16" t="s">
        <v>94</v>
      </c>
    </row>
    <row r="36">
      <c r="D36" s="29" t="s">
        <v>74</v>
      </c>
      <c r="E36" s="29" t="s">
        <v>75</v>
      </c>
      <c r="F36" s="22" t="s">
        <v>73</v>
      </c>
      <c r="G36" s="24" t="s">
        <v>95</v>
      </c>
    </row>
    <row r="37">
      <c r="D37" s="29" t="s">
        <v>79</v>
      </c>
      <c r="E37" s="29" t="s">
        <v>80</v>
      </c>
      <c r="F37" s="22" t="s">
        <v>78</v>
      </c>
      <c r="G37" s="24" t="s">
        <v>95</v>
      </c>
    </row>
    <row r="38">
      <c r="D38" s="29" t="s">
        <v>83</v>
      </c>
      <c r="E38" s="29" t="s">
        <v>84</v>
      </c>
      <c r="F38" s="22" t="s">
        <v>82</v>
      </c>
      <c r="G38" s="24" t="s">
        <v>95</v>
      </c>
    </row>
    <row r="39">
      <c r="D39" s="29" t="s">
        <v>87</v>
      </c>
      <c r="E39" s="29" t="s">
        <v>88</v>
      </c>
      <c r="F39" s="22" t="s">
        <v>86</v>
      </c>
      <c r="G39" s="24" t="s">
        <v>95</v>
      </c>
    </row>
    <row r="40">
      <c r="D40" s="21" t="s">
        <v>91</v>
      </c>
      <c r="E40" s="29" t="s">
        <v>92</v>
      </c>
      <c r="F40" s="22" t="s">
        <v>90</v>
      </c>
      <c r="G40" s="24" t="s">
        <v>95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  <col customWidth="1" min="3" max="3" width="17.88"/>
    <col customWidth="1" min="4" max="4" width="16.38"/>
    <col customWidth="1" min="5" max="5" width="15.38"/>
    <col customWidth="1" min="6" max="6" width="16.38"/>
    <col customWidth="1" min="7" max="7" width="14.63"/>
    <col customWidth="1" min="8" max="8" width="21.38"/>
    <col customWidth="1" min="9" max="9" width="18.38"/>
    <col customWidth="1" min="10" max="10" width="19.0"/>
    <col customWidth="1" min="11" max="11" width="23.25"/>
    <col customWidth="1" min="12" max="12" width="20.13"/>
  </cols>
  <sheetData>
    <row r="1">
      <c r="A1" s="1" t="s">
        <v>96</v>
      </c>
    </row>
    <row r="3">
      <c r="B3" s="2" t="s">
        <v>1</v>
      </c>
      <c r="C3" s="91"/>
      <c r="D3" s="92"/>
      <c r="E3" s="92"/>
      <c r="F3" s="91"/>
      <c r="G3" s="92"/>
      <c r="H3" s="92"/>
    </row>
    <row r="4">
      <c r="B4" s="4"/>
      <c r="C4" s="93">
        <v>1.0</v>
      </c>
      <c r="D4" s="93">
        <v>2.0</v>
      </c>
      <c r="E4" s="93">
        <v>3.0</v>
      </c>
      <c r="F4" s="93">
        <v>4.0</v>
      </c>
      <c r="G4" s="94">
        <v>5.0</v>
      </c>
      <c r="H4" s="94">
        <v>6.0</v>
      </c>
    </row>
    <row r="5">
      <c r="B5" s="6" t="s">
        <v>2</v>
      </c>
      <c r="C5" s="24" t="s">
        <v>97</v>
      </c>
      <c r="D5" s="24" t="s">
        <v>97</v>
      </c>
      <c r="E5" s="24" t="s">
        <v>97</v>
      </c>
      <c r="F5" s="24" t="s">
        <v>98</v>
      </c>
      <c r="G5" s="24" t="s">
        <v>98</v>
      </c>
      <c r="H5" s="24" t="s">
        <v>98</v>
      </c>
      <c r="I5" s="95"/>
    </row>
    <row r="6">
      <c r="B6" s="6" t="s">
        <v>3</v>
      </c>
      <c r="C6" s="24" t="s">
        <v>99</v>
      </c>
      <c r="D6" s="24" t="s">
        <v>99</v>
      </c>
      <c r="E6" s="24" t="s">
        <v>99</v>
      </c>
      <c r="F6" s="24" t="s">
        <v>100</v>
      </c>
      <c r="G6" s="24" t="s">
        <v>100</v>
      </c>
      <c r="H6" s="24" t="s">
        <v>100</v>
      </c>
      <c r="I6" s="95"/>
    </row>
    <row r="7">
      <c r="B7" s="6" t="s">
        <v>4</v>
      </c>
      <c r="C7" s="24" t="s">
        <v>101</v>
      </c>
      <c r="D7" s="24" t="s">
        <v>101</v>
      </c>
      <c r="E7" s="24" t="s">
        <v>101</v>
      </c>
      <c r="F7" s="24" t="s">
        <v>102</v>
      </c>
      <c r="G7" s="24" t="s">
        <v>102</v>
      </c>
      <c r="H7" s="24" t="s">
        <v>102</v>
      </c>
      <c r="I7" s="95"/>
    </row>
    <row r="8">
      <c r="B8" s="6" t="s">
        <v>5</v>
      </c>
      <c r="C8" s="24" t="s">
        <v>103</v>
      </c>
      <c r="D8" s="24" t="s">
        <v>103</v>
      </c>
      <c r="E8" s="24" t="s">
        <v>103</v>
      </c>
      <c r="F8" s="24" t="s">
        <v>104</v>
      </c>
      <c r="G8" s="24" t="s">
        <v>104</v>
      </c>
      <c r="H8" s="24" t="s">
        <v>104</v>
      </c>
      <c r="I8" s="95"/>
    </row>
    <row r="9">
      <c r="B9" s="6" t="s">
        <v>6</v>
      </c>
      <c r="C9" s="24" t="s">
        <v>105</v>
      </c>
      <c r="D9" s="24" t="s">
        <v>105</v>
      </c>
      <c r="E9" s="24" t="s">
        <v>105</v>
      </c>
      <c r="F9" s="24" t="s">
        <v>106</v>
      </c>
      <c r="G9" s="24" t="s">
        <v>106</v>
      </c>
      <c r="H9" s="24" t="s">
        <v>106</v>
      </c>
      <c r="I9" s="95"/>
    </row>
    <row r="10">
      <c r="B10" s="6" t="s">
        <v>7</v>
      </c>
      <c r="C10" s="24" t="s">
        <v>107</v>
      </c>
      <c r="D10" s="24" t="s">
        <v>107</v>
      </c>
      <c r="E10" s="24" t="s">
        <v>107</v>
      </c>
      <c r="F10" s="24"/>
      <c r="G10" s="24"/>
      <c r="H10" s="24" t="s">
        <v>108</v>
      </c>
      <c r="I10" s="95"/>
      <c r="J10" s="51"/>
      <c r="K10" s="51"/>
      <c r="L10" s="51"/>
    </row>
    <row r="11">
      <c r="B11" s="96" t="s">
        <v>8</v>
      </c>
      <c r="C11" s="24" t="s">
        <v>10</v>
      </c>
      <c r="D11" s="24" t="s">
        <v>10</v>
      </c>
      <c r="E11" s="24" t="s">
        <v>10</v>
      </c>
      <c r="F11" s="24"/>
      <c r="G11" s="24"/>
      <c r="H11" s="24"/>
      <c r="I11" s="95"/>
      <c r="J11" s="51"/>
      <c r="K11" s="51"/>
      <c r="L11" s="51"/>
    </row>
    <row r="12">
      <c r="B12" s="97"/>
      <c r="C12" s="98"/>
      <c r="D12" s="98"/>
      <c r="E12" s="98"/>
      <c r="F12" s="99"/>
      <c r="G12" s="99"/>
      <c r="H12" s="99"/>
      <c r="I12" s="40"/>
      <c r="J12" s="51"/>
      <c r="K12" s="51"/>
      <c r="L12" s="51"/>
    </row>
    <row r="13">
      <c r="F13" s="40"/>
      <c r="G13" s="100"/>
      <c r="H13" s="100"/>
      <c r="I13" s="40"/>
      <c r="J13" s="51"/>
      <c r="K13" s="51"/>
      <c r="L13" s="51"/>
    </row>
    <row r="14">
      <c r="B14" s="12" t="s">
        <v>13</v>
      </c>
      <c r="F14" s="40"/>
      <c r="G14" s="40"/>
      <c r="H14" s="40"/>
      <c r="I14" s="40"/>
      <c r="J14" s="40"/>
      <c r="K14" s="40"/>
    </row>
    <row r="15">
      <c r="B15" s="101" t="s">
        <v>61</v>
      </c>
      <c r="C15" s="101" t="s">
        <v>109</v>
      </c>
      <c r="D15" s="102" t="s">
        <v>110</v>
      </c>
      <c r="E15" s="101" t="s">
        <v>14</v>
      </c>
      <c r="F15" s="103" t="s">
        <v>111</v>
      </c>
      <c r="H15" s="104" t="s">
        <v>112</v>
      </c>
      <c r="I15" s="74"/>
      <c r="J15" s="105" t="s">
        <v>113</v>
      </c>
      <c r="K15" s="106"/>
    </row>
    <row r="16">
      <c r="B16" s="106"/>
      <c r="C16" s="106"/>
      <c r="D16" s="106"/>
      <c r="E16" s="106"/>
      <c r="F16" s="107" t="s">
        <v>18</v>
      </c>
      <c r="G16" s="107" t="s">
        <v>39</v>
      </c>
      <c r="H16" s="17" t="s">
        <v>18</v>
      </c>
      <c r="I16" s="17" t="s">
        <v>39</v>
      </c>
      <c r="J16" s="108" t="s">
        <v>114</v>
      </c>
      <c r="K16" s="109" t="s">
        <v>115</v>
      </c>
    </row>
    <row r="17" ht="45.0" customHeight="1">
      <c r="B17" s="24" t="s">
        <v>98</v>
      </c>
      <c r="C17" s="22" t="s">
        <v>116</v>
      </c>
      <c r="D17" s="24" t="s">
        <v>76</v>
      </c>
      <c r="E17" s="24" t="s">
        <v>117</v>
      </c>
      <c r="F17" s="23">
        <f>AVERAGE(F26:F28)</f>
        <v>12.62184073</v>
      </c>
      <c r="G17" s="23">
        <f>STDEV(F26:F28)</f>
        <v>2.172461177</v>
      </c>
      <c r="H17" s="28" t="s">
        <v>32</v>
      </c>
      <c r="I17" s="66" t="s">
        <v>29</v>
      </c>
      <c r="J17" s="110" t="s">
        <v>23</v>
      </c>
      <c r="K17" s="64" t="s">
        <v>23</v>
      </c>
    </row>
    <row r="18" ht="45.0" customHeight="1">
      <c r="B18" s="24" t="s">
        <v>118</v>
      </c>
      <c r="C18" s="24" t="s">
        <v>119</v>
      </c>
      <c r="D18" s="24" t="s">
        <v>120</v>
      </c>
      <c r="E18" s="24" t="s">
        <v>121</v>
      </c>
      <c r="F18" s="23">
        <f>AVERAGE(F32:F34)</f>
        <v>11.22327095</v>
      </c>
      <c r="G18" s="23">
        <f>STDEV(F32:F34)</f>
        <v>0.5846007809</v>
      </c>
      <c r="H18" s="28" t="s">
        <v>32</v>
      </c>
      <c r="I18" s="66" t="s">
        <v>29</v>
      </c>
      <c r="J18" s="110" t="s">
        <v>23</v>
      </c>
      <c r="K18" s="64" t="s">
        <v>23</v>
      </c>
    </row>
    <row r="19" ht="45.0" customHeight="1">
      <c r="B19" s="24" t="s">
        <v>100</v>
      </c>
      <c r="C19" s="24" t="s">
        <v>122</v>
      </c>
      <c r="D19" s="24" t="s">
        <v>123</v>
      </c>
      <c r="E19" s="24" t="s">
        <v>124</v>
      </c>
      <c r="F19" s="23">
        <f>AVERAGE(F38:F40)</f>
        <v>11.37658037</v>
      </c>
      <c r="G19" s="23">
        <f>STDEV(F38:F40)</f>
        <v>0.07003692575</v>
      </c>
      <c r="H19" s="28" t="s">
        <v>32</v>
      </c>
      <c r="I19" s="66" t="s">
        <v>29</v>
      </c>
      <c r="J19" s="110" t="s">
        <v>23</v>
      </c>
      <c r="K19" s="64" t="s">
        <v>23</v>
      </c>
    </row>
    <row r="20" ht="45.0" customHeight="1">
      <c r="B20" s="24" t="s">
        <v>102</v>
      </c>
      <c r="C20" s="22" t="s">
        <v>125</v>
      </c>
      <c r="D20" s="24" t="s">
        <v>126</v>
      </c>
      <c r="E20" s="24" t="s">
        <v>127</v>
      </c>
      <c r="F20" s="23">
        <f>AVERAGE(F44:F46)</f>
        <v>13.5395694</v>
      </c>
      <c r="G20" s="23">
        <f>STDEV(F44:F46)</f>
        <v>0.2821167658</v>
      </c>
      <c r="H20" s="28" t="s">
        <v>32</v>
      </c>
      <c r="I20" s="66" t="s">
        <v>29</v>
      </c>
      <c r="J20" s="110" t="s">
        <v>23</v>
      </c>
      <c r="K20" s="64" t="s">
        <v>23</v>
      </c>
    </row>
    <row r="21" ht="45.0" customHeight="1">
      <c r="B21" s="24" t="s">
        <v>128</v>
      </c>
      <c r="C21" s="22" t="s">
        <v>129</v>
      </c>
      <c r="D21" s="24" t="s">
        <v>76</v>
      </c>
      <c r="E21" s="24" t="s">
        <v>130</v>
      </c>
      <c r="F21" s="23">
        <f>AVERAGE(F50:F52)</f>
        <v>11.59160555</v>
      </c>
      <c r="G21" s="23">
        <f>STDEV(F50:F52)</f>
        <v>2.164674904</v>
      </c>
      <c r="H21" s="28" t="s">
        <v>32</v>
      </c>
      <c r="I21" s="66" t="s">
        <v>29</v>
      </c>
      <c r="J21" s="110" t="s">
        <v>23</v>
      </c>
      <c r="K21" s="64" t="s">
        <v>23</v>
      </c>
    </row>
    <row r="22">
      <c r="F22" s="40"/>
      <c r="G22" s="40"/>
      <c r="H22" s="40"/>
      <c r="I22" s="40"/>
      <c r="J22" s="40"/>
      <c r="K22" s="40"/>
    </row>
    <row r="23">
      <c r="F23" s="40"/>
      <c r="G23" s="40"/>
      <c r="H23" s="40"/>
      <c r="I23" s="40"/>
      <c r="J23" s="40"/>
      <c r="K23" s="40"/>
    </row>
    <row r="24">
      <c r="B24" s="2" t="s">
        <v>12</v>
      </c>
      <c r="C24" s="3"/>
      <c r="D24" s="3"/>
      <c r="E24" s="3"/>
      <c r="F24" s="2"/>
      <c r="G24" s="12"/>
      <c r="H24" s="40"/>
      <c r="I24" s="40"/>
      <c r="J24" s="40"/>
      <c r="K24" s="40"/>
    </row>
    <row r="25">
      <c r="B25" s="111" t="s">
        <v>61</v>
      </c>
      <c r="C25" s="112" t="s">
        <v>109</v>
      </c>
      <c r="D25" s="16" t="s">
        <v>131</v>
      </c>
      <c r="E25" s="15" t="s">
        <v>15</v>
      </c>
      <c r="F25" s="16" t="s">
        <v>16</v>
      </c>
      <c r="G25" s="16" t="s">
        <v>17</v>
      </c>
      <c r="H25" s="40"/>
      <c r="I25" s="40"/>
      <c r="J25" s="40"/>
      <c r="K25" s="40"/>
    </row>
    <row r="26">
      <c r="B26" s="24" t="s">
        <v>97</v>
      </c>
      <c r="C26" s="22" t="s">
        <v>116</v>
      </c>
      <c r="D26" s="24" t="s">
        <v>132</v>
      </c>
      <c r="E26" s="22">
        <v>1.0</v>
      </c>
      <c r="F26" s="23">
        <v>10.71330923217841</v>
      </c>
      <c r="G26" s="24" t="s">
        <v>22</v>
      </c>
      <c r="H26" s="40"/>
      <c r="I26" s="40"/>
      <c r="J26" s="40"/>
      <c r="K26" s="40"/>
    </row>
    <row r="27">
      <c r="B27" s="90"/>
      <c r="C27" s="29"/>
      <c r="D27" s="22"/>
      <c r="E27" s="22">
        <v>2.0</v>
      </c>
      <c r="F27" s="23">
        <v>14.985971082987291</v>
      </c>
      <c r="G27" s="24" t="s">
        <v>22</v>
      </c>
      <c r="H27" s="40"/>
      <c r="I27" s="40"/>
      <c r="J27" s="40"/>
      <c r="K27" s="40"/>
    </row>
    <row r="28">
      <c r="B28" s="90"/>
      <c r="C28" s="29"/>
      <c r="D28" s="22"/>
      <c r="E28" s="22">
        <v>3.0</v>
      </c>
      <c r="F28" s="23">
        <v>12.166241859947217</v>
      </c>
      <c r="G28" s="24" t="s">
        <v>22</v>
      </c>
      <c r="H28" s="40"/>
      <c r="I28" s="40"/>
      <c r="J28" s="40"/>
      <c r="K28" s="40"/>
    </row>
    <row r="29">
      <c r="B29" s="24" t="s">
        <v>98</v>
      </c>
      <c r="C29" s="22" t="s">
        <v>116</v>
      </c>
      <c r="D29" s="24" t="s">
        <v>133</v>
      </c>
      <c r="E29" s="22">
        <v>1.0</v>
      </c>
      <c r="F29" s="23" t="s">
        <v>32</v>
      </c>
      <c r="G29" s="24" t="s">
        <v>33</v>
      </c>
      <c r="H29" s="40"/>
      <c r="I29" s="40"/>
      <c r="J29" s="40"/>
      <c r="K29" s="40"/>
    </row>
    <row r="30">
      <c r="B30" s="90"/>
      <c r="C30" s="29"/>
      <c r="D30" s="22"/>
      <c r="E30" s="22">
        <v>2.0</v>
      </c>
      <c r="F30" s="23" t="s">
        <v>32</v>
      </c>
      <c r="G30" s="24" t="s">
        <v>33</v>
      </c>
      <c r="H30" s="3"/>
      <c r="I30" s="3"/>
      <c r="J30" s="3"/>
      <c r="K30" s="3"/>
    </row>
    <row r="31">
      <c r="B31" s="90"/>
      <c r="C31" s="29"/>
      <c r="D31" s="22"/>
      <c r="E31" s="22">
        <v>3.0</v>
      </c>
      <c r="F31" s="23" t="s">
        <v>32</v>
      </c>
      <c r="G31" s="24" t="s">
        <v>33</v>
      </c>
      <c r="H31" s="3"/>
      <c r="I31" s="3"/>
      <c r="J31" s="3"/>
      <c r="K31" s="3"/>
    </row>
    <row r="32">
      <c r="B32" s="24" t="s">
        <v>134</v>
      </c>
      <c r="C32" s="24" t="s">
        <v>119</v>
      </c>
      <c r="D32" s="24" t="s">
        <v>132</v>
      </c>
      <c r="E32" s="22">
        <v>1.0</v>
      </c>
      <c r="F32" s="23">
        <v>11.814362845190821</v>
      </c>
      <c r="G32" s="24" t="s">
        <v>22</v>
      </c>
      <c r="H32" s="3"/>
      <c r="I32" s="3"/>
      <c r="J32" s="3"/>
      <c r="K32" s="3"/>
    </row>
    <row r="33">
      <c r="B33" s="90"/>
      <c r="C33" s="29"/>
      <c r="D33" s="22"/>
      <c r="E33" s="22">
        <v>2.0</v>
      </c>
      <c r="F33" s="23">
        <v>11.210064967152881</v>
      </c>
      <c r="G33" s="24" t="s">
        <v>22</v>
      </c>
    </row>
    <row r="34">
      <c r="B34" s="90"/>
      <c r="C34" s="29"/>
      <c r="D34" s="22"/>
      <c r="E34" s="22">
        <v>3.0</v>
      </c>
      <c r="F34" s="23">
        <v>10.645385044650634</v>
      </c>
      <c r="G34" s="24" t="s">
        <v>22</v>
      </c>
    </row>
    <row r="35">
      <c r="B35" s="24" t="s">
        <v>118</v>
      </c>
      <c r="C35" s="24" t="s">
        <v>119</v>
      </c>
      <c r="D35" s="24" t="s">
        <v>133</v>
      </c>
      <c r="E35" s="22">
        <v>1.0</v>
      </c>
      <c r="F35" s="23" t="s">
        <v>32</v>
      </c>
      <c r="G35" s="24" t="s">
        <v>33</v>
      </c>
    </row>
    <row r="36">
      <c r="B36" s="90"/>
      <c r="C36" s="29"/>
      <c r="D36" s="22"/>
      <c r="E36" s="22">
        <v>2.0</v>
      </c>
      <c r="F36" s="23" t="s">
        <v>32</v>
      </c>
      <c r="G36" s="24" t="s">
        <v>33</v>
      </c>
    </row>
    <row r="37">
      <c r="B37" s="90"/>
      <c r="C37" s="29"/>
      <c r="D37" s="22"/>
      <c r="E37" s="22">
        <v>3.0</v>
      </c>
      <c r="F37" s="23" t="s">
        <v>32</v>
      </c>
      <c r="G37" s="24" t="s">
        <v>33</v>
      </c>
    </row>
    <row r="38">
      <c r="B38" s="24" t="s">
        <v>99</v>
      </c>
      <c r="C38" s="24" t="s">
        <v>135</v>
      </c>
      <c r="D38" s="24" t="s">
        <v>132</v>
      </c>
      <c r="E38" s="22">
        <v>1.0</v>
      </c>
      <c r="F38" s="23">
        <v>11.302577769739539</v>
      </c>
      <c r="G38" s="24" t="s">
        <v>22</v>
      </c>
    </row>
    <row r="39">
      <c r="B39" s="90"/>
      <c r="C39" s="29"/>
      <c r="D39" s="22"/>
      <c r="E39" s="22">
        <v>2.0</v>
      </c>
      <c r="F39" s="23">
        <v>11.385334851789512</v>
      </c>
      <c r="G39" s="24" t="s">
        <v>22</v>
      </c>
    </row>
    <row r="40">
      <c r="B40" s="90"/>
      <c r="C40" s="29"/>
      <c r="D40" s="22"/>
      <c r="E40" s="22">
        <v>3.0</v>
      </c>
      <c r="F40" s="23">
        <v>11.441828482162045</v>
      </c>
      <c r="G40" s="24" t="s">
        <v>22</v>
      </c>
    </row>
    <row r="41">
      <c r="B41" s="24" t="s">
        <v>100</v>
      </c>
      <c r="C41" s="24" t="s">
        <v>135</v>
      </c>
      <c r="D41" s="24" t="s">
        <v>133</v>
      </c>
      <c r="E41" s="22">
        <v>1.0</v>
      </c>
      <c r="F41" s="23" t="s">
        <v>32</v>
      </c>
      <c r="G41" s="24" t="s">
        <v>33</v>
      </c>
    </row>
    <row r="42">
      <c r="B42" s="90"/>
      <c r="C42" s="29"/>
      <c r="D42" s="22"/>
      <c r="E42" s="22">
        <v>2.0</v>
      </c>
      <c r="F42" s="23" t="s">
        <v>32</v>
      </c>
      <c r="G42" s="24" t="s">
        <v>33</v>
      </c>
    </row>
    <row r="43">
      <c r="B43" s="90"/>
      <c r="C43" s="29"/>
      <c r="D43" s="22"/>
      <c r="E43" s="22">
        <v>3.0</v>
      </c>
      <c r="F43" s="23" t="s">
        <v>32</v>
      </c>
      <c r="G43" s="24" t="s">
        <v>33</v>
      </c>
    </row>
    <row r="44">
      <c r="B44" s="24" t="s">
        <v>101</v>
      </c>
      <c r="C44" s="22" t="s">
        <v>125</v>
      </c>
      <c r="D44" s="24" t="s">
        <v>132</v>
      </c>
      <c r="E44" s="22">
        <v>1.0</v>
      </c>
      <c r="F44" s="23">
        <v>13.86507854954844</v>
      </c>
      <c r="G44" s="24" t="s">
        <v>22</v>
      </c>
    </row>
    <row r="45">
      <c r="B45" s="90"/>
      <c r="C45" s="29"/>
      <c r="D45" s="22"/>
      <c r="E45" s="22">
        <v>2.0</v>
      </c>
      <c r="F45" s="23">
        <v>13.365737061789229</v>
      </c>
      <c r="G45" s="24" t="s">
        <v>22</v>
      </c>
    </row>
    <row r="46">
      <c r="B46" s="90"/>
      <c r="C46" s="29"/>
      <c r="D46" s="22"/>
      <c r="E46" s="22">
        <v>3.0</v>
      </c>
      <c r="F46" s="23">
        <v>13.38789260274833</v>
      </c>
      <c r="G46" s="24" t="s">
        <v>22</v>
      </c>
    </row>
    <row r="47">
      <c r="B47" s="24" t="s">
        <v>102</v>
      </c>
      <c r="C47" s="22" t="s">
        <v>125</v>
      </c>
      <c r="D47" s="24" t="s">
        <v>133</v>
      </c>
      <c r="E47" s="22">
        <v>1.0</v>
      </c>
      <c r="F47" s="23" t="s">
        <v>32</v>
      </c>
      <c r="G47" s="24" t="s">
        <v>33</v>
      </c>
    </row>
    <row r="48">
      <c r="B48" s="90"/>
      <c r="C48" s="29"/>
      <c r="D48" s="22"/>
      <c r="E48" s="22">
        <v>2.0</v>
      </c>
      <c r="F48" s="23" t="s">
        <v>32</v>
      </c>
      <c r="G48" s="24" t="s">
        <v>33</v>
      </c>
    </row>
    <row r="49">
      <c r="B49" s="90"/>
      <c r="C49" s="29"/>
      <c r="D49" s="22"/>
      <c r="E49" s="22">
        <v>3.0</v>
      </c>
      <c r="F49" s="23" t="s">
        <v>32</v>
      </c>
      <c r="G49" s="24" t="s">
        <v>33</v>
      </c>
    </row>
    <row r="50">
      <c r="B50" s="24" t="s">
        <v>136</v>
      </c>
      <c r="C50" s="22" t="s">
        <v>129</v>
      </c>
      <c r="D50" s="24" t="s">
        <v>132</v>
      </c>
      <c r="E50" s="22">
        <v>1.0</v>
      </c>
      <c r="F50" s="23">
        <v>10.850041655253705</v>
      </c>
      <c r="G50" s="24" t="s">
        <v>22</v>
      </c>
    </row>
    <row r="51">
      <c r="B51" s="90"/>
      <c r="C51" s="29"/>
      <c r="D51" s="22"/>
      <c r="E51" s="22">
        <v>2.0</v>
      </c>
      <c r="F51" s="23">
        <v>9.89517206322008</v>
      </c>
      <c r="G51" s="24" t="s">
        <v>22</v>
      </c>
    </row>
    <row r="52">
      <c r="B52" s="90"/>
      <c r="C52" s="29"/>
      <c r="D52" s="22"/>
      <c r="E52" s="22">
        <v>3.0</v>
      </c>
      <c r="F52" s="23">
        <v>14.029602944562537</v>
      </c>
      <c r="G52" s="24" t="s">
        <v>22</v>
      </c>
    </row>
    <row r="53">
      <c r="B53" s="24" t="s">
        <v>128</v>
      </c>
      <c r="C53" s="22" t="s">
        <v>129</v>
      </c>
      <c r="D53" s="24" t="s">
        <v>133</v>
      </c>
      <c r="E53" s="22">
        <v>1.0</v>
      </c>
      <c r="F53" s="23" t="s">
        <v>32</v>
      </c>
      <c r="G53" s="24" t="s">
        <v>33</v>
      </c>
    </row>
    <row r="54">
      <c r="B54" s="90"/>
      <c r="C54" s="29"/>
      <c r="D54" s="22"/>
      <c r="E54" s="22">
        <v>2.0</v>
      </c>
      <c r="F54" s="23" t="s">
        <v>32</v>
      </c>
      <c r="G54" s="24" t="s">
        <v>33</v>
      </c>
    </row>
    <row r="55">
      <c r="B55" s="90"/>
      <c r="C55" s="29"/>
      <c r="D55" s="22"/>
      <c r="E55" s="22">
        <v>3.0</v>
      </c>
      <c r="F55" s="23" t="s">
        <v>32</v>
      </c>
      <c r="G55" s="24" t="s">
        <v>33</v>
      </c>
    </row>
    <row r="56">
      <c r="B56" s="24" t="s">
        <v>137</v>
      </c>
      <c r="C56" s="24" t="s">
        <v>138</v>
      </c>
      <c r="D56" s="24" t="s">
        <v>132</v>
      </c>
      <c r="E56" s="22">
        <v>1.0</v>
      </c>
      <c r="F56" s="23">
        <v>10.850041655253705</v>
      </c>
      <c r="G56" s="24" t="s">
        <v>22</v>
      </c>
    </row>
    <row r="57">
      <c r="B57" s="90"/>
      <c r="C57" s="29"/>
      <c r="D57" s="22"/>
      <c r="E57" s="22">
        <v>2.0</v>
      </c>
      <c r="F57" s="23">
        <v>9.89517206322008</v>
      </c>
      <c r="G57" s="24" t="s">
        <v>22</v>
      </c>
    </row>
    <row r="58">
      <c r="B58" s="90"/>
      <c r="C58" s="29"/>
      <c r="D58" s="22"/>
      <c r="E58" s="22">
        <v>3.0</v>
      </c>
      <c r="F58" s="23">
        <v>14.029602944562537</v>
      </c>
      <c r="G58" s="24" t="s">
        <v>22</v>
      </c>
    </row>
    <row r="59">
      <c r="B59" s="24" t="s">
        <v>139</v>
      </c>
      <c r="C59" s="24" t="s">
        <v>138</v>
      </c>
      <c r="D59" s="24" t="s">
        <v>133</v>
      </c>
      <c r="E59" s="22">
        <v>1.0</v>
      </c>
      <c r="F59" s="23" t="s">
        <v>32</v>
      </c>
      <c r="G59" s="24" t="s">
        <v>33</v>
      </c>
    </row>
    <row r="60">
      <c r="B60" s="90"/>
      <c r="C60" s="29"/>
      <c r="D60" s="22"/>
      <c r="E60" s="22">
        <v>2.0</v>
      </c>
      <c r="F60" s="23" t="s">
        <v>32</v>
      </c>
      <c r="G60" s="24" t="s">
        <v>33</v>
      </c>
    </row>
    <row r="61">
      <c r="B61" s="90"/>
      <c r="C61" s="29"/>
      <c r="D61" s="22"/>
      <c r="E61" s="22">
        <v>3.0</v>
      </c>
      <c r="F61" s="23" t="s">
        <v>32</v>
      </c>
      <c r="G61" s="24" t="s">
        <v>33</v>
      </c>
    </row>
    <row r="62">
      <c r="B62" s="24" t="s">
        <v>140</v>
      </c>
      <c r="C62" s="24" t="s">
        <v>138</v>
      </c>
      <c r="D62" s="24" t="s">
        <v>132</v>
      </c>
      <c r="E62" s="22">
        <v>1.0</v>
      </c>
      <c r="F62" s="23">
        <v>10.5</v>
      </c>
      <c r="G62" s="24" t="s">
        <v>22</v>
      </c>
    </row>
    <row r="63">
      <c r="B63" s="24" t="s">
        <v>35</v>
      </c>
      <c r="C63" s="24" t="s">
        <v>138</v>
      </c>
      <c r="D63" s="24" t="s">
        <v>133</v>
      </c>
      <c r="E63" s="22">
        <v>1.0</v>
      </c>
      <c r="F63" s="23" t="s">
        <v>32</v>
      </c>
      <c r="G63" s="24" t="s">
        <v>33</v>
      </c>
    </row>
    <row r="64">
      <c r="B64" s="68"/>
      <c r="C64" s="68"/>
      <c r="D64" s="68"/>
      <c r="E64" s="22">
        <v>2.0</v>
      </c>
      <c r="F64" s="23" t="s">
        <v>32</v>
      </c>
      <c r="G64" s="24" t="s">
        <v>33</v>
      </c>
    </row>
    <row r="65">
      <c r="B65" s="68"/>
      <c r="C65" s="68"/>
      <c r="D65" s="68"/>
      <c r="E65" s="22">
        <v>3.0</v>
      </c>
      <c r="F65" s="23" t="s">
        <v>32</v>
      </c>
      <c r="G65" s="24" t="s">
        <v>33</v>
      </c>
    </row>
    <row r="66">
      <c r="B66" s="113"/>
      <c r="C66" s="113"/>
      <c r="D66" s="113"/>
      <c r="E66" s="114">
        <v>4.0</v>
      </c>
      <c r="F66" s="23" t="s">
        <v>32</v>
      </c>
      <c r="G66" s="115" t="s">
        <v>33</v>
      </c>
    </row>
    <row r="67">
      <c r="B67" s="116"/>
      <c r="C67" s="116"/>
      <c r="D67" s="116"/>
      <c r="E67" s="117"/>
      <c r="F67" s="118"/>
      <c r="G67" s="119"/>
    </row>
    <row r="68">
      <c r="E68" s="51"/>
      <c r="F68" s="120"/>
      <c r="G68" s="57"/>
    </row>
  </sheetData>
  <mergeCells count="9">
    <mergeCell ref="H15:I15"/>
    <mergeCell ref="J15:K15"/>
    <mergeCell ref="C3:E3"/>
    <mergeCell ref="F3:H3"/>
    <mergeCell ref="B15:B16"/>
    <mergeCell ref="C15:C16"/>
    <mergeCell ref="D15:D16"/>
    <mergeCell ref="E15:E16"/>
    <mergeCell ref="F15:G1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5" max="5" width="13.63"/>
    <col customWidth="1" min="8" max="8" width="20.38"/>
    <col customWidth="1" min="9" max="9" width="17.88"/>
  </cols>
  <sheetData>
    <row r="1">
      <c r="A1" s="121" t="s">
        <v>141</v>
      </c>
    </row>
    <row r="3">
      <c r="B3" s="4" t="s">
        <v>1</v>
      </c>
      <c r="C3" s="122"/>
      <c r="D3" s="122"/>
      <c r="E3" s="122"/>
      <c r="F3" s="122"/>
      <c r="G3" s="122"/>
      <c r="H3" s="122"/>
      <c r="I3" s="123"/>
      <c r="J3" s="122"/>
      <c r="K3" s="122"/>
      <c r="L3" s="122"/>
      <c r="M3" s="122"/>
      <c r="N3" s="122"/>
    </row>
    <row r="4">
      <c r="B4" s="122"/>
      <c r="C4" s="5">
        <v>1.0</v>
      </c>
      <c r="D4" s="5">
        <v>2.0</v>
      </c>
      <c r="E4" s="5">
        <v>3.0</v>
      </c>
      <c r="F4" s="5">
        <v>4.0</v>
      </c>
      <c r="G4" s="5">
        <v>5.0</v>
      </c>
      <c r="H4" s="5">
        <v>6.0</v>
      </c>
      <c r="I4" s="5">
        <v>7.0</v>
      </c>
      <c r="J4" s="5">
        <v>8.0</v>
      </c>
      <c r="K4" s="5">
        <v>9.0</v>
      </c>
      <c r="L4" s="5">
        <v>10.0</v>
      </c>
      <c r="M4" s="5">
        <v>11.0</v>
      </c>
      <c r="N4" s="5">
        <v>12.0</v>
      </c>
    </row>
    <row r="5">
      <c r="B5" s="6" t="s">
        <v>2</v>
      </c>
      <c r="C5" s="124" t="s">
        <v>142</v>
      </c>
      <c r="D5" s="124" t="s">
        <v>143</v>
      </c>
      <c r="E5" s="124" t="s">
        <v>144</v>
      </c>
      <c r="F5" s="124" t="s">
        <v>145</v>
      </c>
      <c r="G5" s="124" t="s">
        <v>146</v>
      </c>
      <c r="H5" s="124" t="s">
        <v>147</v>
      </c>
      <c r="I5" s="124" t="s">
        <v>148</v>
      </c>
      <c r="J5" s="124" t="s">
        <v>149</v>
      </c>
      <c r="K5" s="124" t="s">
        <v>150</v>
      </c>
      <c r="L5" s="124" t="s">
        <v>151</v>
      </c>
      <c r="M5" s="124" t="s">
        <v>11</v>
      </c>
      <c r="N5" s="124"/>
    </row>
    <row r="6">
      <c r="B6" s="6" t="s">
        <v>3</v>
      </c>
      <c r="C6" s="124" t="s">
        <v>152</v>
      </c>
      <c r="D6" s="124" t="s">
        <v>153</v>
      </c>
      <c r="E6" s="124" t="s">
        <v>154</v>
      </c>
      <c r="F6" s="124" t="s">
        <v>155</v>
      </c>
      <c r="G6" s="124" t="s">
        <v>156</v>
      </c>
      <c r="H6" s="124" t="s">
        <v>157</v>
      </c>
      <c r="I6" s="124" t="s">
        <v>158</v>
      </c>
      <c r="J6" s="124" t="s">
        <v>159</v>
      </c>
      <c r="K6" s="124" t="s">
        <v>160</v>
      </c>
      <c r="L6" s="124" t="s">
        <v>161</v>
      </c>
      <c r="M6" s="124" t="s">
        <v>10</v>
      </c>
      <c r="N6" s="124"/>
    </row>
    <row r="7">
      <c r="B7" s="6" t="s">
        <v>4</v>
      </c>
      <c r="C7" s="124" t="s">
        <v>162</v>
      </c>
      <c r="D7" s="124" t="s">
        <v>163</v>
      </c>
      <c r="E7" s="124" t="s">
        <v>164</v>
      </c>
      <c r="F7" s="124" t="s">
        <v>165</v>
      </c>
      <c r="G7" s="124" t="s">
        <v>166</v>
      </c>
      <c r="H7" s="124" t="s">
        <v>167</v>
      </c>
      <c r="I7" s="124" t="s">
        <v>168</v>
      </c>
      <c r="J7" s="124" t="s">
        <v>169</v>
      </c>
      <c r="K7" s="124" t="s">
        <v>170</v>
      </c>
      <c r="L7" s="124" t="s">
        <v>171</v>
      </c>
      <c r="M7" s="124"/>
      <c r="N7" s="124"/>
    </row>
    <row r="8">
      <c r="B8" s="6" t="s">
        <v>5</v>
      </c>
      <c r="C8" s="124" t="s">
        <v>172</v>
      </c>
      <c r="D8" s="124" t="s">
        <v>173</v>
      </c>
      <c r="E8" s="124" t="s">
        <v>174</v>
      </c>
      <c r="F8" s="124" t="s">
        <v>175</v>
      </c>
      <c r="G8" s="124" t="s">
        <v>176</v>
      </c>
      <c r="H8" s="124" t="s">
        <v>177</v>
      </c>
      <c r="I8" s="124" t="s">
        <v>178</v>
      </c>
      <c r="J8" s="124" t="s">
        <v>179</v>
      </c>
      <c r="K8" s="124" t="s">
        <v>180</v>
      </c>
      <c r="L8" s="124" t="s">
        <v>181</v>
      </c>
      <c r="M8" s="124"/>
      <c r="N8" s="124"/>
    </row>
    <row r="9">
      <c r="B9" s="6" t="s">
        <v>6</v>
      </c>
      <c r="C9" s="124" t="s">
        <v>182</v>
      </c>
      <c r="D9" s="124" t="s">
        <v>183</v>
      </c>
      <c r="E9" s="124" t="s">
        <v>184</v>
      </c>
      <c r="F9" s="124" t="s">
        <v>185</v>
      </c>
      <c r="G9" s="124" t="s">
        <v>186</v>
      </c>
      <c r="H9" s="124" t="s">
        <v>187</v>
      </c>
      <c r="I9" s="124" t="s">
        <v>188</v>
      </c>
      <c r="J9" s="124" t="s">
        <v>189</v>
      </c>
      <c r="K9" s="124" t="s">
        <v>190</v>
      </c>
      <c r="L9" s="124" t="s">
        <v>191</v>
      </c>
      <c r="M9" s="124"/>
      <c r="N9" s="124"/>
    </row>
    <row r="10">
      <c r="B10" s="6" t="s">
        <v>7</v>
      </c>
      <c r="C10" s="124" t="s">
        <v>192</v>
      </c>
      <c r="D10" s="124" t="s">
        <v>193</v>
      </c>
      <c r="E10" s="124" t="s">
        <v>194</v>
      </c>
      <c r="F10" s="124" t="s">
        <v>195</v>
      </c>
      <c r="G10" s="124" t="s">
        <v>196</v>
      </c>
      <c r="H10" s="124" t="s">
        <v>197</v>
      </c>
      <c r="I10" s="124" t="s">
        <v>198</v>
      </c>
      <c r="J10" s="124" t="s">
        <v>199</v>
      </c>
      <c r="K10" s="124" t="s">
        <v>200</v>
      </c>
      <c r="L10" s="124" t="s">
        <v>201</v>
      </c>
      <c r="M10" s="124"/>
      <c r="N10" s="124"/>
    </row>
    <row r="11">
      <c r="B11" s="6" t="s">
        <v>8</v>
      </c>
      <c r="C11" s="124" t="s">
        <v>202</v>
      </c>
      <c r="D11" s="124" t="s">
        <v>203</v>
      </c>
      <c r="E11" s="124" t="s">
        <v>204</v>
      </c>
      <c r="F11" s="124" t="s">
        <v>205</v>
      </c>
      <c r="G11" s="124" t="s">
        <v>206</v>
      </c>
      <c r="H11" s="124" t="s">
        <v>207</v>
      </c>
      <c r="I11" s="124" t="s">
        <v>208</v>
      </c>
      <c r="J11" s="124" t="s">
        <v>209</v>
      </c>
      <c r="K11" s="124" t="s">
        <v>210</v>
      </c>
      <c r="L11" s="124" t="s">
        <v>211</v>
      </c>
      <c r="M11" s="124"/>
      <c r="N11" s="124"/>
    </row>
    <row r="12">
      <c r="B12" s="6" t="s">
        <v>9</v>
      </c>
      <c r="C12" s="44" t="s">
        <v>212</v>
      </c>
      <c r="D12" s="44" t="s">
        <v>213</v>
      </c>
      <c r="E12" s="44" t="s">
        <v>214</v>
      </c>
      <c r="F12" s="125" t="s">
        <v>215</v>
      </c>
      <c r="G12" s="125" t="s">
        <v>216</v>
      </c>
      <c r="H12" s="125" t="s">
        <v>217</v>
      </c>
      <c r="I12" s="125" t="s">
        <v>218</v>
      </c>
      <c r="J12" s="44" t="s">
        <v>219</v>
      </c>
      <c r="K12" s="125" t="s">
        <v>220</v>
      </c>
      <c r="L12" s="125" t="s">
        <v>221</v>
      </c>
      <c r="M12" s="44"/>
      <c r="N12" s="44"/>
    </row>
    <row r="14">
      <c r="B14" s="123" t="s">
        <v>222</v>
      </c>
      <c r="C14" s="122"/>
      <c r="D14" s="122"/>
      <c r="E14" s="122"/>
    </row>
    <row r="15">
      <c r="B15" s="126" t="s">
        <v>223</v>
      </c>
      <c r="C15" s="127" t="s">
        <v>224</v>
      </c>
      <c r="D15" s="127" t="s">
        <v>225</v>
      </c>
      <c r="E15" s="127" t="s">
        <v>226</v>
      </c>
    </row>
    <row r="16">
      <c r="B16" s="124" t="s">
        <v>227</v>
      </c>
      <c r="C16" s="45">
        <v>34.0</v>
      </c>
      <c r="D16" s="45">
        <v>0.0</v>
      </c>
      <c r="E16" s="45">
        <v>34.0</v>
      </c>
    </row>
    <row r="17">
      <c r="B17" s="124" t="s">
        <v>228</v>
      </c>
      <c r="C17" s="45">
        <v>6.0</v>
      </c>
      <c r="D17" s="45">
        <v>40.0</v>
      </c>
      <c r="E17" s="45">
        <v>46.0</v>
      </c>
    </row>
    <row r="18">
      <c r="B18" s="124" t="s">
        <v>226</v>
      </c>
      <c r="C18" s="45">
        <v>40.0</v>
      </c>
      <c r="D18" s="45">
        <v>40.0</v>
      </c>
      <c r="E18" s="45">
        <v>80.0</v>
      </c>
    </row>
    <row r="19">
      <c r="B19" s="124" t="s">
        <v>229</v>
      </c>
      <c r="C19" s="128" t="s">
        <v>230</v>
      </c>
      <c r="D19" s="129"/>
      <c r="E19" s="74"/>
    </row>
    <row r="20">
      <c r="B20" s="124" t="s">
        <v>231</v>
      </c>
      <c r="C20" s="130" t="s">
        <v>232</v>
      </c>
      <c r="D20" s="129"/>
      <c r="E20" s="74"/>
    </row>
    <row r="22">
      <c r="B22" s="131" t="s">
        <v>233</v>
      </c>
      <c r="C22" s="59"/>
      <c r="D22" s="59"/>
      <c r="E22" s="59"/>
      <c r="F22" s="59"/>
      <c r="G22" s="59"/>
      <c r="H22" s="132"/>
      <c r="I22" s="132"/>
      <c r="J22" s="132"/>
      <c r="K22" s="59"/>
      <c r="L22" s="59"/>
      <c r="M22" s="59"/>
      <c r="N22" s="59"/>
    </row>
    <row r="23">
      <c r="B23" s="131" t="s">
        <v>234</v>
      </c>
      <c r="C23" s="59"/>
      <c r="D23" s="59"/>
      <c r="E23" s="59"/>
      <c r="F23" s="59"/>
      <c r="G23" s="59"/>
      <c r="H23" s="132"/>
      <c r="I23" s="132"/>
      <c r="J23" s="132"/>
      <c r="K23" s="59"/>
      <c r="L23" s="59"/>
      <c r="M23" s="59"/>
      <c r="N23" s="59"/>
    </row>
    <row r="24">
      <c r="B24" s="131" t="s">
        <v>235</v>
      </c>
      <c r="C24" s="59"/>
      <c r="D24" s="59"/>
      <c r="E24" s="59"/>
      <c r="F24" s="59"/>
      <c r="G24" s="59"/>
      <c r="H24" s="132"/>
      <c r="I24" s="132"/>
      <c r="J24" s="132"/>
      <c r="K24" s="59"/>
      <c r="L24" s="59"/>
      <c r="M24" s="59"/>
      <c r="N24" s="59"/>
    </row>
    <row r="26">
      <c r="B26" s="133" t="s">
        <v>236</v>
      </c>
      <c r="C26" s="74"/>
      <c r="D26" s="134" t="s">
        <v>237</v>
      </c>
      <c r="E26" s="129"/>
      <c r="F26" s="129"/>
      <c r="G26" s="74"/>
      <c r="H26" s="135" t="s">
        <v>238</v>
      </c>
      <c r="I26" s="74"/>
      <c r="J26" s="58"/>
      <c r="M26" s="136"/>
    </row>
    <row r="27">
      <c r="B27" s="17" t="s">
        <v>239</v>
      </c>
      <c r="C27" s="17" t="s">
        <v>61</v>
      </c>
      <c r="D27" s="127" t="s">
        <v>240</v>
      </c>
      <c r="E27" s="127" t="s">
        <v>241</v>
      </c>
      <c r="F27" s="127" t="s">
        <v>242</v>
      </c>
      <c r="G27" s="127" t="s">
        <v>243</v>
      </c>
      <c r="H27" s="137" t="s">
        <v>244</v>
      </c>
      <c r="I27" s="17" t="s">
        <v>17</v>
      </c>
      <c r="J27" s="138"/>
      <c r="K27" s="139"/>
      <c r="L27" s="139"/>
      <c r="M27" s="139"/>
    </row>
    <row r="28">
      <c r="B28" s="124" t="s">
        <v>245</v>
      </c>
      <c r="C28" s="86" t="s">
        <v>172</v>
      </c>
      <c r="D28" s="140">
        <v>44198.0</v>
      </c>
      <c r="E28" s="141" t="s">
        <v>246</v>
      </c>
      <c r="F28" s="125">
        <v>13.2</v>
      </c>
      <c r="G28" s="125" t="s">
        <v>22</v>
      </c>
      <c r="H28" s="142">
        <v>8.09</v>
      </c>
      <c r="I28" s="125" t="s">
        <v>22</v>
      </c>
      <c r="J28" s="143"/>
      <c r="K28" s="143"/>
      <c r="L28" s="58"/>
    </row>
    <row r="29">
      <c r="B29" s="86" t="s">
        <v>247</v>
      </c>
      <c r="C29" s="86" t="s">
        <v>166</v>
      </c>
      <c r="D29" s="140">
        <v>44198.0</v>
      </c>
      <c r="E29" s="141" t="s">
        <v>246</v>
      </c>
      <c r="F29" s="125">
        <v>13.6</v>
      </c>
      <c r="G29" s="125" t="s">
        <v>22</v>
      </c>
      <c r="H29" s="142">
        <v>8.13</v>
      </c>
      <c r="I29" s="125" t="s">
        <v>22</v>
      </c>
      <c r="J29" s="143"/>
      <c r="K29" s="143"/>
      <c r="L29" s="58"/>
    </row>
    <row r="30">
      <c r="B30" s="86" t="s">
        <v>248</v>
      </c>
      <c r="C30" s="86" t="s">
        <v>218</v>
      </c>
      <c r="D30" s="140">
        <v>44198.0</v>
      </c>
      <c r="E30" s="141" t="s">
        <v>246</v>
      </c>
      <c r="F30" s="125">
        <v>14.0</v>
      </c>
      <c r="G30" s="125" t="s">
        <v>22</v>
      </c>
      <c r="H30" s="142">
        <v>8.29</v>
      </c>
      <c r="I30" s="125" t="s">
        <v>22</v>
      </c>
      <c r="J30" s="143"/>
      <c r="K30" s="143"/>
      <c r="L30" s="58"/>
    </row>
    <row r="31">
      <c r="B31" s="86" t="s">
        <v>249</v>
      </c>
      <c r="C31" s="86" t="s">
        <v>204</v>
      </c>
      <c r="D31" s="140">
        <v>44197.0</v>
      </c>
      <c r="E31" s="141" t="s">
        <v>246</v>
      </c>
      <c r="F31" s="125">
        <v>15.0</v>
      </c>
      <c r="G31" s="125" t="s">
        <v>22</v>
      </c>
      <c r="H31" s="142">
        <v>8.3</v>
      </c>
      <c r="I31" s="125" t="s">
        <v>22</v>
      </c>
      <c r="J31" s="143"/>
      <c r="K31" s="143"/>
      <c r="L31" s="58"/>
    </row>
    <row r="32">
      <c r="B32" s="86" t="s">
        <v>250</v>
      </c>
      <c r="C32" s="86" t="s">
        <v>165</v>
      </c>
      <c r="D32" s="140">
        <v>44200.0</v>
      </c>
      <c r="E32" s="141" t="s">
        <v>246</v>
      </c>
      <c r="F32" s="125">
        <v>15.1</v>
      </c>
      <c r="G32" s="125" t="s">
        <v>22</v>
      </c>
      <c r="H32" s="142">
        <v>9.25</v>
      </c>
      <c r="I32" s="125" t="s">
        <v>22</v>
      </c>
      <c r="J32" s="143"/>
      <c r="K32" s="143"/>
      <c r="L32" s="58"/>
    </row>
    <row r="33">
      <c r="B33" s="86" t="s">
        <v>251</v>
      </c>
      <c r="C33" s="86" t="s">
        <v>190</v>
      </c>
      <c r="D33" s="140">
        <v>44199.0</v>
      </c>
      <c r="E33" s="141" t="s">
        <v>246</v>
      </c>
      <c r="F33" s="125">
        <v>15.4</v>
      </c>
      <c r="G33" s="125" t="s">
        <v>22</v>
      </c>
      <c r="H33" s="142">
        <v>8.29</v>
      </c>
      <c r="I33" s="125" t="s">
        <v>22</v>
      </c>
      <c r="J33" s="143"/>
      <c r="K33" s="143"/>
      <c r="L33" s="58"/>
    </row>
    <row r="34">
      <c r="B34" s="86" t="s">
        <v>252</v>
      </c>
      <c r="C34" s="86" t="s">
        <v>193</v>
      </c>
      <c r="D34" s="140">
        <v>44199.0</v>
      </c>
      <c r="E34" s="141" t="s">
        <v>246</v>
      </c>
      <c r="F34" s="125">
        <v>15.5</v>
      </c>
      <c r="G34" s="125" t="s">
        <v>22</v>
      </c>
      <c r="H34" s="142">
        <v>8.12</v>
      </c>
      <c r="I34" s="125" t="s">
        <v>22</v>
      </c>
      <c r="J34" s="143"/>
      <c r="K34" s="143"/>
      <c r="L34" s="58"/>
    </row>
    <row r="35">
      <c r="B35" s="86" t="s">
        <v>253</v>
      </c>
      <c r="C35" s="86" t="s">
        <v>153</v>
      </c>
      <c r="D35" s="140">
        <v>44197.0</v>
      </c>
      <c r="E35" s="141" t="s">
        <v>246</v>
      </c>
      <c r="F35" s="125">
        <v>15.6</v>
      </c>
      <c r="G35" s="125" t="s">
        <v>22</v>
      </c>
      <c r="H35" s="142">
        <v>11.34</v>
      </c>
      <c r="I35" s="125" t="s">
        <v>22</v>
      </c>
      <c r="J35" s="143"/>
      <c r="K35" s="143"/>
      <c r="L35" s="58"/>
    </row>
    <row r="36">
      <c r="B36" s="86" t="s">
        <v>254</v>
      </c>
      <c r="C36" s="86" t="s">
        <v>188</v>
      </c>
      <c r="D36" s="140">
        <v>44198.0</v>
      </c>
      <c r="E36" s="141" t="s">
        <v>246</v>
      </c>
      <c r="F36" s="125">
        <v>15.6</v>
      </c>
      <c r="G36" s="125" t="s">
        <v>22</v>
      </c>
      <c r="H36" s="142">
        <v>8.64</v>
      </c>
      <c r="I36" s="125" t="s">
        <v>22</v>
      </c>
      <c r="J36" s="143"/>
      <c r="K36" s="143"/>
      <c r="L36" s="58"/>
    </row>
    <row r="37">
      <c r="B37" s="86" t="s">
        <v>255</v>
      </c>
      <c r="C37" s="86" t="s">
        <v>179</v>
      </c>
      <c r="D37" s="140">
        <v>44199.0</v>
      </c>
      <c r="E37" s="141" t="s">
        <v>246</v>
      </c>
      <c r="F37" s="125">
        <v>15.7</v>
      </c>
      <c r="G37" s="125" t="s">
        <v>22</v>
      </c>
      <c r="H37" s="142">
        <v>9.08</v>
      </c>
      <c r="I37" s="125" t="s">
        <v>22</v>
      </c>
      <c r="J37" s="143"/>
      <c r="K37" s="143"/>
      <c r="L37" s="58"/>
    </row>
    <row r="38">
      <c r="B38" s="86" t="s">
        <v>256</v>
      </c>
      <c r="C38" s="86" t="s">
        <v>145</v>
      </c>
      <c r="D38" s="140">
        <v>44197.0</v>
      </c>
      <c r="E38" s="141" t="s">
        <v>246</v>
      </c>
      <c r="F38" s="125">
        <v>16.5</v>
      </c>
      <c r="G38" s="125" t="s">
        <v>22</v>
      </c>
      <c r="H38" s="142">
        <v>10.93</v>
      </c>
      <c r="I38" s="125" t="s">
        <v>22</v>
      </c>
      <c r="J38" s="143"/>
      <c r="K38" s="143"/>
      <c r="L38" s="58"/>
    </row>
    <row r="39">
      <c r="B39" s="86" t="s">
        <v>257</v>
      </c>
      <c r="C39" s="86" t="s">
        <v>194</v>
      </c>
      <c r="D39" s="140">
        <v>44199.0</v>
      </c>
      <c r="E39" s="141" t="s">
        <v>246</v>
      </c>
      <c r="F39" s="125">
        <v>17.2</v>
      </c>
      <c r="G39" s="125" t="s">
        <v>22</v>
      </c>
      <c r="H39" s="142">
        <v>8.57</v>
      </c>
      <c r="I39" s="125" t="s">
        <v>22</v>
      </c>
      <c r="J39" s="143"/>
      <c r="K39" s="143"/>
      <c r="L39" s="58"/>
    </row>
    <row r="40">
      <c r="B40" s="86" t="s">
        <v>258</v>
      </c>
      <c r="C40" s="86" t="s">
        <v>203</v>
      </c>
      <c r="D40" s="140">
        <v>44197.0</v>
      </c>
      <c r="E40" s="141" t="s">
        <v>246</v>
      </c>
      <c r="F40" s="125">
        <v>17.4</v>
      </c>
      <c r="G40" s="125" t="s">
        <v>22</v>
      </c>
      <c r="H40" s="142">
        <v>10.09</v>
      </c>
      <c r="I40" s="125" t="s">
        <v>22</v>
      </c>
      <c r="J40" s="143"/>
      <c r="K40" s="143"/>
      <c r="L40" s="58"/>
    </row>
    <row r="41">
      <c r="B41" s="86" t="s">
        <v>259</v>
      </c>
      <c r="C41" s="86" t="s">
        <v>154</v>
      </c>
      <c r="D41" s="140">
        <v>44198.0</v>
      </c>
      <c r="E41" s="141" t="s">
        <v>246</v>
      </c>
      <c r="F41" s="125">
        <v>17.5</v>
      </c>
      <c r="G41" s="125" t="s">
        <v>22</v>
      </c>
      <c r="H41" s="142">
        <v>10.33</v>
      </c>
      <c r="I41" s="125" t="s">
        <v>22</v>
      </c>
      <c r="J41" s="143"/>
      <c r="K41" s="143"/>
      <c r="L41" s="58"/>
    </row>
    <row r="42">
      <c r="B42" s="86" t="s">
        <v>260</v>
      </c>
      <c r="C42" s="86" t="s">
        <v>214</v>
      </c>
      <c r="D42" s="140">
        <v>44197.0</v>
      </c>
      <c r="E42" s="141" t="s">
        <v>246</v>
      </c>
      <c r="F42" s="125">
        <v>18.9</v>
      </c>
      <c r="G42" s="125" t="s">
        <v>22</v>
      </c>
      <c r="H42" s="142">
        <v>10.47</v>
      </c>
      <c r="I42" s="125" t="s">
        <v>22</v>
      </c>
      <c r="J42" s="143"/>
      <c r="K42" s="143"/>
      <c r="L42" s="58"/>
    </row>
    <row r="43">
      <c r="B43" s="86" t="s">
        <v>261</v>
      </c>
      <c r="C43" s="86" t="s">
        <v>187</v>
      </c>
      <c r="D43" s="140">
        <v>44202.0</v>
      </c>
      <c r="E43" s="141" t="s">
        <v>246</v>
      </c>
      <c r="F43" s="125">
        <v>18.9</v>
      </c>
      <c r="G43" s="125" t="s">
        <v>22</v>
      </c>
      <c r="H43" s="142">
        <v>8.86</v>
      </c>
      <c r="I43" s="125" t="s">
        <v>22</v>
      </c>
      <c r="J43" s="143"/>
      <c r="K43" s="143"/>
      <c r="L43" s="58"/>
    </row>
    <row r="44">
      <c r="B44" s="86" t="s">
        <v>262</v>
      </c>
      <c r="C44" s="86" t="s">
        <v>209</v>
      </c>
      <c r="D44" s="140">
        <v>44198.0</v>
      </c>
      <c r="E44" s="141" t="s">
        <v>246</v>
      </c>
      <c r="F44" s="125">
        <v>19.4</v>
      </c>
      <c r="G44" s="125" t="s">
        <v>22</v>
      </c>
      <c r="H44" s="142">
        <v>11.18</v>
      </c>
      <c r="I44" s="125" t="s">
        <v>22</v>
      </c>
      <c r="J44" s="143"/>
      <c r="K44" s="143"/>
      <c r="L44" s="58"/>
    </row>
    <row r="45">
      <c r="B45" s="86" t="s">
        <v>263</v>
      </c>
      <c r="C45" s="86" t="s">
        <v>178</v>
      </c>
      <c r="D45" s="140">
        <v>44197.0</v>
      </c>
      <c r="E45" s="141" t="s">
        <v>246</v>
      </c>
      <c r="F45" s="125">
        <v>19.8</v>
      </c>
      <c r="G45" s="125" t="s">
        <v>22</v>
      </c>
      <c r="H45" s="142">
        <v>12.28</v>
      </c>
      <c r="I45" s="125" t="s">
        <v>22</v>
      </c>
      <c r="J45" s="143"/>
      <c r="K45" s="143"/>
      <c r="L45" s="58"/>
    </row>
    <row r="46">
      <c r="B46" s="86" t="s">
        <v>264</v>
      </c>
      <c r="C46" s="86" t="s">
        <v>217</v>
      </c>
      <c r="D46" s="140">
        <v>44198.0</v>
      </c>
      <c r="E46" s="141" t="s">
        <v>246</v>
      </c>
      <c r="F46" s="125">
        <v>20.0</v>
      </c>
      <c r="G46" s="125" t="s">
        <v>22</v>
      </c>
      <c r="H46" s="142">
        <v>12.67</v>
      </c>
      <c r="I46" s="125" t="s">
        <v>22</v>
      </c>
      <c r="J46" s="143"/>
      <c r="K46" s="143"/>
      <c r="L46" s="58"/>
    </row>
    <row r="47">
      <c r="B47" s="86" t="s">
        <v>265</v>
      </c>
      <c r="C47" s="86" t="s">
        <v>185</v>
      </c>
      <c r="D47" s="140">
        <v>44197.0</v>
      </c>
      <c r="E47" s="141" t="s">
        <v>246</v>
      </c>
      <c r="F47" s="125">
        <v>20.5</v>
      </c>
      <c r="G47" s="125" t="s">
        <v>22</v>
      </c>
      <c r="H47" s="142">
        <v>13.04</v>
      </c>
      <c r="I47" s="125" t="s">
        <v>22</v>
      </c>
      <c r="J47" s="143"/>
      <c r="K47" s="143"/>
      <c r="L47" s="58"/>
    </row>
    <row r="48">
      <c r="B48" s="86" t="s">
        <v>266</v>
      </c>
      <c r="C48" s="86" t="s">
        <v>160</v>
      </c>
      <c r="D48" s="140">
        <v>44197.0</v>
      </c>
      <c r="E48" s="141" t="s">
        <v>246</v>
      </c>
      <c r="F48" s="125">
        <v>21.1</v>
      </c>
      <c r="G48" s="125" t="s">
        <v>22</v>
      </c>
      <c r="H48" s="142">
        <v>11.5</v>
      </c>
      <c r="I48" s="125" t="s">
        <v>22</v>
      </c>
      <c r="J48" s="143"/>
      <c r="K48" s="143"/>
      <c r="L48" s="58"/>
    </row>
    <row r="49">
      <c r="B49" s="124" t="s">
        <v>267</v>
      </c>
      <c r="C49" s="86" t="s">
        <v>192</v>
      </c>
      <c r="D49" s="140">
        <v>44201.0</v>
      </c>
      <c r="E49" s="141" t="s">
        <v>246</v>
      </c>
      <c r="F49" s="125">
        <v>22.6</v>
      </c>
      <c r="G49" s="125" t="s">
        <v>22</v>
      </c>
      <c r="H49" s="142">
        <v>13.96</v>
      </c>
      <c r="I49" s="125" t="s">
        <v>22</v>
      </c>
      <c r="J49" s="143"/>
      <c r="K49" s="143"/>
      <c r="L49" s="58"/>
    </row>
    <row r="50">
      <c r="B50" s="86" t="s">
        <v>268</v>
      </c>
      <c r="C50" s="86" t="s">
        <v>196</v>
      </c>
      <c r="D50" s="140">
        <v>44197.0</v>
      </c>
      <c r="E50" s="141" t="s">
        <v>246</v>
      </c>
      <c r="F50" s="125">
        <v>23.2</v>
      </c>
      <c r="G50" s="125" t="s">
        <v>22</v>
      </c>
      <c r="H50" s="142">
        <v>11.1</v>
      </c>
      <c r="I50" s="125" t="s">
        <v>22</v>
      </c>
      <c r="J50" s="143"/>
      <c r="K50" s="143"/>
      <c r="L50" s="58"/>
    </row>
    <row r="51">
      <c r="B51" s="86" t="s">
        <v>269</v>
      </c>
      <c r="C51" s="86" t="s">
        <v>195</v>
      </c>
      <c r="D51" s="140">
        <v>44205.0</v>
      </c>
      <c r="E51" s="141" t="s">
        <v>246</v>
      </c>
      <c r="F51" s="125">
        <v>23.7</v>
      </c>
      <c r="G51" s="125" t="s">
        <v>22</v>
      </c>
      <c r="H51" s="142">
        <v>13.03</v>
      </c>
      <c r="I51" s="125" t="s">
        <v>22</v>
      </c>
      <c r="J51" s="143"/>
      <c r="K51" s="143"/>
      <c r="L51" s="58"/>
    </row>
    <row r="52">
      <c r="B52" s="86" t="s">
        <v>270</v>
      </c>
      <c r="C52" s="86" t="s">
        <v>181</v>
      </c>
      <c r="D52" s="140">
        <v>44198.0</v>
      </c>
      <c r="E52" s="141" t="s">
        <v>246</v>
      </c>
      <c r="F52" s="125">
        <v>24.1</v>
      </c>
      <c r="G52" s="125" t="s">
        <v>22</v>
      </c>
      <c r="H52" s="142">
        <v>14.26</v>
      </c>
      <c r="I52" s="125" t="s">
        <v>22</v>
      </c>
      <c r="J52" s="143"/>
      <c r="K52" s="143"/>
      <c r="L52" s="58"/>
    </row>
    <row r="53">
      <c r="B53" s="86" t="s">
        <v>271</v>
      </c>
      <c r="C53" s="86" t="s">
        <v>208</v>
      </c>
      <c r="D53" s="140">
        <v>44197.0</v>
      </c>
      <c r="E53" s="141" t="s">
        <v>246</v>
      </c>
      <c r="F53" s="125">
        <v>24.8</v>
      </c>
      <c r="G53" s="125" t="s">
        <v>22</v>
      </c>
      <c r="H53" s="142">
        <v>13.42</v>
      </c>
      <c r="I53" s="125" t="s">
        <v>22</v>
      </c>
      <c r="J53" s="143"/>
      <c r="K53" s="143"/>
      <c r="L53" s="58"/>
    </row>
    <row r="54">
      <c r="B54" s="144" t="s">
        <v>272</v>
      </c>
      <c r="C54" s="144" t="s">
        <v>174</v>
      </c>
      <c r="D54" s="145">
        <v>44197.0</v>
      </c>
      <c r="E54" s="146" t="s">
        <v>246</v>
      </c>
      <c r="F54" s="147">
        <v>25.1</v>
      </c>
      <c r="G54" s="147" t="s">
        <v>22</v>
      </c>
      <c r="H54" s="148" t="s">
        <v>273</v>
      </c>
      <c r="I54" s="144" t="s">
        <v>33</v>
      </c>
      <c r="J54" s="143"/>
      <c r="K54" s="143"/>
      <c r="L54" s="58"/>
    </row>
    <row r="55">
      <c r="B55" s="86" t="s">
        <v>274</v>
      </c>
      <c r="C55" s="86" t="s">
        <v>221</v>
      </c>
      <c r="D55" s="149">
        <v>44197.0</v>
      </c>
      <c r="E55" s="142" t="s">
        <v>246</v>
      </c>
      <c r="F55" s="125">
        <v>25.2</v>
      </c>
      <c r="G55" s="125" t="s">
        <v>22</v>
      </c>
      <c r="H55" s="142">
        <v>17.74</v>
      </c>
      <c r="I55" s="125" t="s">
        <v>22</v>
      </c>
      <c r="J55" s="143"/>
      <c r="K55" s="143"/>
      <c r="L55" s="58"/>
    </row>
    <row r="56">
      <c r="B56" s="86" t="s">
        <v>275</v>
      </c>
      <c r="C56" s="86" t="s">
        <v>219</v>
      </c>
      <c r="D56" s="149">
        <v>44198.0</v>
      </c>
      <c r="E56" s="142" t="s">
        <v>246</v>
      </c>
      <c r="F56" s="125">
        <v>25.6</v>
      </c>
      <c r="G56" s="125" t="s">
        <v>22</v>
      </c>
      <c r="H56" s="142">
        <v>14.31</v>
      </c>
      <c r="I56" s="125" t="s">
        <v>22</v>
      </c>
      <c r="J56" s="143"/>
      <c r="K56" s="143"/>
      <c r="L56" s="58"/>
    </row>
    <row r="57">
      <c r="B57" s="144" t="s">
        <v>276</v>
      </c>
      <c r="C57" s="144" t="s">
        <v>220</v>
      </c>
      <c r="D57" s="145">
        <v>44198.0</v>
      </c>
      <c r="E57" s="146" t="s">
        <v>246</v>
      </c>
      <c r="F57" s="147">
        <v>25.6</v>
      </c>
      <c r="G57" s="147" t="s">
        <v>22</v>
      </c>
      <c r="H57" s="148" t="s">
        <v>273</v>
      </c>
      <c r="I57" s="144" t="s">
        <v>33</v>
      </c>
      <c r="J57" s="143"/>
      <c r="K57" s="143"/>
      <c r="L57" s="58"/>
    </row>
    <row r="58">
      <c r="B58" s="86" t="s">
        <v>277</v>
      </c>
      <c r="C58" s="86" t="s">
        <v>161</v>
      </c>
      <c r="D58" s="149">
        <v>44198.0</v>
      </c>
      <c r="E58" s="142" t="s">
        <v>246</v>
      </c>
      <c r="F58" s="125">
        <v>25.7</v>
      </c>
      <c r="G58" s="125" t="s">
        <v>22</v>
      </c>
      <c r="H58" s="142">
        <v>14.24</v>
      </c>
      <c r="I58" s="125" t="s">
        <v>22</v>
      </c>
      <c r="J58" s="143"/>
      <c r="K58" s="143"/>
      <c r="L58" s="58"/>
    </row>
    <row r="59">
      <c r="B59" s="144" t="s">
        <v>278</v>
      </c>
      <c r="C59" s="144" t="s">
        <v>207</v>
      </c>
      <c r="D59" s="145">
        <v>44198.0</v>
      </c>
      <c r="E59" s="146" t="s">
        <v>246</v>
      </c>
      <c r="F59" s="147">
        <v>25.9</v>
      </c>
      <c r="G59" s="147" t="s">
        <v>22</v>
      </c>
      <c r="H59" s="148" t="s">
        <v>273</v>
      </c>
      <c r="I59" s="144" t="s">
        <v>33</v>
      </c>
      <c r="J59" s="143"/>
      <c r="K59" s="143"/>
      <c r="L59" s="58"/>
    </row>
    <row r="60">
      <c r="B60" s="86" t="s">
        <v>279</v>
      </c>
      <c r="C60" s="86" t="s">
        <v>150</v>
      </c>
      <c r="D60" s="149">
        <v>44201.0</v>
      </c>
      <c r="E60" s="142" t="s">
        <v>246</v>
      </c>
      <c r="F60" s="125">
        <v>26.1</v>
      </c>
      <c r="G60" s="125" t="s">
        <v>22</v>
      </c>
      <c r="H60" s="142">
        <v>13.05</v>
      </c>
      <c r="I60" s="125" t="s">
        <v>22</v>
      </c>
      <c r="J60" s="143"/>
      <c r="K60" s="143"/>
      <c r="L60" s="58"/>
    </row>
    <row r="61">
      <c r="B61" s="150" t="s">
        <v>280</v>
      </c>
      <c r="C61" s="150" t="s">
        <v>173</v>
      </c>
      <c r="D61" s="151">
        <v>44198.0</v>
      </c>
      <c r="E61" s="152" t="s">
        <v>246</v>
      </c>
      <c r="F61" s="148">
        <v>26.3</v>
      </c>
      <c r="G61" s="148" t="s">
        <v>22</v>
      </c>
      <c r="H61" s="148" t="s">
        <v>273</v>
      </c>
      <c r="I61" s="150" t="s">
        <v>33</v>
      </c>
      <c r="J61" s="143"/>
      <c r="K61" s="143"/>
      <c r="L61" s="58"/>
    </row>
    <row r="62">
      <c r="B62" s="86" t="s">
        <v>281</v>
      </c>
      <c r="C62" s="86" t="s">
        <v>156</v>
      </c>
      <c r="D62" s="149">
        <v>44200.0</v>
      </c>
      <c r="E62" s="142" t="s">
        <v>246</v>
      </c>
      <c r="F62" s="125">
        <v>26.4</v>
      </c>
      <c r="G62" s="125" t="s">
        <v>22</v>
      </c>
      <c r="H62" s="142">
        <v>14.32</v>
      </c>
      <c r="I62" s="125" t="s">
        <v>22</v>
      </c>
      <c r="J62" s="143"/>
      <c r="K62" s="143"/>
      <c r="L62" s="58"/>
    </row>
    <row r="63">
      <c r="B63" s="86" t="s">
        <v>282</v>
      </c>
      <c r="C63" s="86" t="s">
        <v>197</v>
      </c>
      <c r="D63" s="149">
        <v>44205.0</v>
      </c>
      <c r="E63" s="142" t="s">
        <v>246</v>
      </c>
      <c r="F63" s="125">
        <v>27.0</v>
      </c>
      <c r="G63" s="125" t="s">
        <v>22</v>
      </c>
      <c r="H63" s="142">
        <v>14.79</v>
      </c>
      <c r="I63" s="125" t="s">
        <v>22</v>
      </c>
      <c r="J63" s="143"/>
      <c r="K63" s="143"/>
      <c r="L63" s="58"/>
    </row>
    <row r="64">
      <c r="B64" s="86" t="s">
        <v>283</v>
      </c>
      <c r="C64" s="86" t="s">
        <v>163</v>
      </c>
      <c r="D64" s="149">
        <v>44200.0</v>
      </c>
      <c r="E64" s="142" t="s">
        <v>246</v>
      </c>
      <c r="F64" s="125">
        <v>27.2</v>
      </c>
      <c r="G64" s="125" t="s">
        <v>22</v>
      </c>
      <c r="H64" s="142">
        <v>15.8</v>
      </c>
      <c r="I64" s="125" t="s">
        <v>22</v>
      </c>
      <c r="J64" s="143"/>
      <c r="K64" s="143"/>
      <c r="L64" s="58"/>
    </row>
    <row r="65">
      <c r="B65" s="144" t="s">
        <v>284</v>
      </c>
      <c r="C65" s="144" t="s">
        <v>168</v>
      </c>
      <c r="D65" s="145">
        <v>44203.0</v>
      </c>
      <c r="E65" s="146" t="s">
        <v>246</v>
      </c>
      <c r="F65" s="147">
        <v>28.5</v>
      </c>
      <c r="G65" s="147" t="s">
        <v>22</v>
      </c>
      <c r="H65" s="148" t="s">
        <v>273</v>
      </c>
      <c r="I65" s="144" t="s">
        <v>33</v>
      </c>
      <c r="J65" s="143"/>
      <c r="K65" s="143"/>
      <c r="L65" s="58"/>
    </row>
    <row r="66">
      <c r="B66" s="144" t="s">
        <v>285</v>
      </c>
      <c r="C66" s="144" t="s">
        <v>211</v>
      </c>
      <c r="D66" s="145">
        <v>44197.0</v>
      </c>
      <c r="E66" s="146" t="s">
        <v>246</v>
      </c>
      <c r="F66" s="147">
        <v>29.0</v>
      </c>
      <c r="G66" s="147" t="s">
        <v>22</v>
      </c>
      <c r="H66" s="148" t="s">
        <v>273</v>
      </c>
      <c r="I66" s="144" t="s">
        <v>33</v>
      </c>
      <c r="J66" s="143"/>
      <c r="K66" s="143"/>
      <c r="L66" s="58"/>
    </row>
    <row r="67">
      <c r="B67" s="86" t="s">
        <v>286</v>
      </c>
      <c r="C67" s="86" t="s">
        <v>176</v>
      </c>
      <c r="D67" s="149">
        <v>44201.0</v>
      </c>
      <c r="E67" s="142" t="s">
        <v>246</v>
      </c>
      <c r="F67" s="125">
        <v>29.6</v>
      </c>
      <c r="G67" s="125" t="s">
        <v>22</v>
      </c>
      <c r="H67" s="142">
        <v>12.89</v>
      </c>
      <c r="I67" s="125" t="s">
        <v>22</v>
      </c>
      <c r="J67" s="143"/>
      <c r="K67" s="143"/>
      <c r="L67" s="58"/>
    </row>
    <row r="68">
      <c r="B68" s="124" t="s">
        <v>287</v>
      </c>
      <c r="C68" s="86" t="s">
        <v>142</v>
      </c>
      <c r="D68" s="140">
        <v>44201.0</v>
      </c>
      <c r="E68" s="141" t="s">
        <v>288</v>
      </c>
      <c r="F68" s="125" t="s">
        <v>273</v>
      </c>
      <c r="G68" s="86" t="s">
        <v>33</v>
      </c>
      <c r="H68" s="125" t="s">
        <v>273</v>
      </c>
      <c r="I68" s="86" t="s">
        <v>33</v>
      </c>
      <c r="J68" s="143"/>
      <c r="K68" s="143"/>
      <c r="L68" s="58"/>
    </row>
    <row r="69">
      <c r="B69" s="86" t="s">
        <v>289</v>
      </c>
      <c r="C69" s="86" t="s">
        <v>152</v>
      </c>
      <c r="D69" s="140">
        <v>44201.0</v>
      </c>
      <c r="E69" s="141" t="s">
        <v>288</v>
      </c>
      <c r="F69" s="125" t="s">
        <v>273</v>
      </c>
      <c r="G69" s="86" t="s">
        <v>33</v>
      </c>
      <c r="H69" s="125" t="s">
        <v>273</v>
      </c>
      <c r="I69" s="86" t="s">
        <v>33</v>
      </c>
      <c r="J69" s="143"/>
      <c r="K69" s="143"/>
      <c r="L69" s="58"/>
    </row>
    <row r="70">
      <c r="B70" s="86" t="s">
        <v>290</v>
      </c>
      <c r="C70" s="86" t="s">
        <v>162</v>
      </c>
      <c r="D70" s="140">
        <v>44201.0</v>
      </c>
      <c r="E70" s="141" t="s">
        <v>288</v>
      </c>
      <c r="F70" s="125" t="s">
        <v>273</v>
      </c>
      <c r="G70" s="86" t="s">
        <v>33</v>
      </c>
      <c r="H70" s="125" t="s">
        <v>273</v>
      </c>
      <c r="I70" s="86" t="s">
        <v>33</v>
      </c>
      <c r="J70" s="143"/>
      <c r="K70" s="143"/>
      <c r="L70" s="58"/>
    </row>
    <row r="71">
      <c r="B71" s="86" t="s">
        <v>291</v>
      </c>
      <c r="C71" s="86" t="s">
        <v>182</v>
      </c>
      <c r="D71" s="140">
        <v>44209.0</v>
      </c>
      <c r="E71" s="141" t="s">
        <v>246</v>
      </c>
      <c r="F71" s="125" t="s">
        <v>273</v>
      </c>
      <c r="G71" s="86" t="s">
        <v>33</v>
      </c>
      <c r="H71" s="125" t="s">
        <v>273</v>
      </c>
      <c r="I71" s="86" t="s">
        <v>33</v>
      </c>
      <c r="J71" s="143"/>
      <c r="K71" s="143"/>
      <c r="L71" s="58"/>
    </row>
    <row r="72">
      <c r="B72" s="86" t="s">
        <v>292</v>
      </c>
      <c r="C72" s="86" t="s">
        <v>202</v>
      </c>
      <c r="D72" s="140">
        <v>44210.0</v>
      </c>
      <c r="E72" s="141" t="s">
        <v>246</v>
      </c>
      <c r="F72" s="125" t="s">
        <v>273</v>
      </c>
      <c r="G72" s="86" t="s">
        <v>33</v>
      </c>
      <c r="H72" s="125" t="s">
        <v>273</v>
      </c>
      <c r="I72" s="86" t="s">
        <v>33</v>
      </c>
      <c r="J72" s="143"/>
      <c r="K72" s="143"/>
      <c r="L72" s="58"/>
    </row>
    <row r="73">
      <c r="B73" s="86" t="s">
        <v>293</v>
      </c>
      <c r="C73" s="86" t="s">
        <v>212</v>
      </c>
      <c r="D73" s="140">
        <v>44209.0</v>
      </c>
      <c r="E73" s="141" t="s">
        <v>246</v>
      </c>
      <c r="F73" s="125" t="s">
        <v>273</v>
      </c>
      <c r="G73" s="86" t="s">
        <v>33</v>
      </c>
      <c r="H73" s="125" t="s">
        <v>273</v>
      </c>
      <c r="I73" s="86" t="s">
        <v>33</v>
      </c>
      <c r="J73" s="143"/>
      <c r="K73" s="143"/>
      <c r="L73" s="58"/>
    </row>
    <row r="74">
      <c r="B74" s="86" t="s">
        <v>294</v>
      </c>
      <c r="C74" s="86" t="s">
        <v>143</v>
      </c>
      <c r="D74" s="140">
        <v>44209.0</v>
      </c>
      <c r="E74" s="141" t="s">
        <v>246</v>
      </c>
      <c r="F74" s="125" t="s">
        <v>273</v>
      </c>
      <c r="G74" s="86" t="s">
        <v>33</v>
      </c>
      <c r="H74" s="125" t="s">
        <v>273</v>
      </c>
      <c r="I74" s="86" t="s">
        <v>33</v>
      </c>
      <c r="J74" s="143"/>
      <c r="K74" s="143"/>
      <c r="L74" s="58"/>
    </row>
    <row r="75">
      <c r="B75" s="86" t="s">
        <v>295</v>
      </c>
      <c r="C75" s="86" t="s">
        <v>183</v>
      </c>
      <c r="D75" s="140">
        <v>44209.0</v>
      </c>
      <c r="E75" s="141" t="s">
        <v>246</v>
      </c>
      <c r="F75" s="125" t="s">
        <v>273</v>
      </c>
      <c r="G75" s="86" t="s">
        <v>33</v>
      </c>
      <c r="H75" s="125" t="s">
        <v>273</v>
      </c>
      <c r="I75" s="86" t="s">
        <v>33</v>
      </c>
      <c r="J75" s="143"/>
      <c r="K75" s="143"/>
      <c r="L75" s="58"/>
    </row>
    <row r="76">
      <c r="B76" s="86" t="s">
        <v>296</v>
      </c>
      <c r="C76" s="86" t="s">
        <v>213</v>
      </c>
      <c r="D76" s="140">
        <v>44210.0</v>
      </c>
      <c r="E76" s="141" t="s">
        <v>246</v>
      </c>
      <c r="F76" s="125" t="s">
        <v>273</v>
      </c>
      <c r="G76" s="86" t="s">
        <v>33</v>
      </c>
      <c r="H76" s="125" t="s">
        <v>273</v>
      </c>
      <c r="I76" s="86" t="s">
        <v>33</v>
      </c>
      <c r="J76" s="143"/>
      <c r="K76" s="143"/>
      <c r="L76" s="58"/>
    </row>
    <row r="77">
      <c r="B77" s="86" t="s">
        <v>297</v>
      </c>
      <c r="C77" s="86" t="s">
        <v>144</v>
      </c>
      <c r="D77" s="140">
        <v>44210.0</v>
      </c>
      <c r="E77" s="141" t="s">
        <v>246</v>
      </c>
      <c r="F77" s="125" t="s">
        <v>273</v>
      </c>
      <c r="G77" s="86" t="s">
        <v>33</v>
      </c>
      <c r="H77" s="125" t="s">
        <v>273</v>
      </c>
      <c r="I77" s="86" t="s">
        <v>33</v>
      </c>
      <c r="J77" s="143"/>
      <c r="K77" s="143"/>
      <c r="L77" s="58"/>
    </row>
    <row r="78">
      <c r="B78" s="86" t="s">
        <v>298</v>
      </c>
      <c r="C78" s="86" t="s">
        <v>164</v>
      </c>
      <c r="D78" s="140">
        <v>44209.0</v>
      </c>
      <c r="E78" s="141" t="s">
        <v>246</v>
      </c>
      <c r="F78" s="125" t="s">
        <v>273</v>
      </c>
      <c r="G78" s="86" t="s">
        <v>33</v>
      </c>
      <c r="H78" s="125" t="s">
        <v>273</v>
      </c>
      <c r="I78" s="86" t="s">
        <v>33</v>
      </c>
      <c r="J78" s="143"/>
      <c r="K78" s="143"/>
      <c r="L78" s="58"/>
    </row>
    <row r="79">
      <c r="B79" s="86" t="s">
        <v>299</v>
      </c>
      <c r="C79" s="86" t="s">
        <v>184</v>
      </c>
      <c r="D79" s="140">
        <v>44210.0</v>
      </c>
      <c r="E79" s="141" t="s">
        <v>246</v>
      </c>
      <c r="F79" s="125" t="s">
        <v>273</v>
      </c>
      <c r="G79" s="86" t="s">
        <v>33</v>
      </c>
      <c r="H79" s="125" t="s">
        <v>273</v>
      </c>
      <c r="I79" s="86" t="s">
        <v>33</v>
      </c>
      <c r="J79" s="143"/>
      <c r="K79" s="143"/>
      <c r="L79" s="58"/>
    </row>
    <row r="80">
      <c r="B80" s="86" t="s">
        <v>300</v>
      </c>
      <c r="C80" s="86" t="s">
        <v>155</v>
      </c>
      <c r="D80" s="140">
        <v>44200.0</v>
      </c>
      <c r="E80" s="141" t="s">
        <v>246</v>
      </c>
      <c r="F80" s="125" t="s">
        <v>273</v>
      </c>
      <c r="G80" s="86" t="s">
        <v>33</v>
      </c>
      <c r="H80" s="125" t="s">
        <v>273</v>
      </c>
      <c r="I80" s="86" t="s">
        <v>33</v>
      </c>
      <c r="J80" s="143"/>
      <c r="K80" s="143"/>
      <c r="L80" s="58"/>
    </row>
    <row r="81">
      <c r="B81" s="86" t="s">
        <v>301</v>
      </c>
      <c r="C81" s="86" t="s">
        <v>175</v>
      </c>
      <c r="D81" s="140">
        <v>44199.0</v>
      </c>
      <c r="E81" s="141" t="s">
        <v>246</v>
      </c>
      <c r="F81" s="125" t="s">
        <v>273</v>
      </c>
      <c r="G81" s="86" t="s">
        <v>33</v>
      </c>
      <c r="H81" s="125" t="s">
        <v>273</v>
      </c>
      <c r="I81" s="86" t="s">
        <v>33</v>
      </c>
      <c r="J81" s="143"/>
      <c r="K81" s="143"/>
      <c r="L81" s="58"/>
    </row>
    <row r="82">
      <c r="B82" s="86" t="s">
        <v>302</v>
      </c>
      <c r="C82" s="86" t="s">
        <v>205</v>
      </c>
      <c r="D82" s="140">
        <v>44200.0</v>
      </c>
      <c r="E82" s="141" t="s">
        <v>288</v>
      </c>
      <c r="F82" s="125" t="s">
        <v>273</v>
      </c>
      <c r="G82" s="86" t="s">
        <v>33</v>
      </c>
      <c r="H82" s="125" t="s">
        <v>273</v>
      </c>
      <c r="I82" s="86" t="s">
        <v>33</v>
      </c>
      <c r="J82" s="143"/>
      <c r="K82" s="143"/>
      <c r="L82" s="58"/>
    </row>
    <row r="83">
      <c r="B83" s="86" t="s">
        <v>303</v>
      </c>
      <c r="C83" s="86" t="s">
        <v>215</v>
      </c>
      <c r="D83" s="140">
        <v>44199.0</v>
      </c>
      <c r="E83" s="141" t="s">
        <v>246</v>
      </c>
      <c r="F83" s="125" t="s">
        <v>273</v>
      </c>
      <c r="G83" s="86" t="s">
        <v>33</v>
      </c>
      <c r="H83" s="125" t="s">
        <v>273</v>
      </c>
      <c r="I83" s="86" t="s">
        <v>33</v>
      </c>
      <c r="J83" s="143"/>
      <c r="K83" s="143"/>
      <c r="L83" s="58"/>
    </row>
    <row r="84">
      <c r="B84" s="86" t="s">
        <v>304</v>
      </c>
      <c r="C84" s="86" t="s">
        <v>146</v>
      </c>
      <c r="D84" s="140">
        <v>44201.0</v>
      </c>
      <c r="E84" s="141" t="s">
        <v>246</v>
      </c>
      <c r="F84" s="125" t="s">
        <v>273</v>
      </c>
      <c r="G84" s="86" t="s">
        <v>33</v>
      </c>
      <c r="H84" s="125" t="s">
        <v>273</v>
      </c>
      <c r="I84" s="86" t="s">
        <v>33</v>
      </c>
      <c r="J84" s="143"/>
      <c r="K84" s="143"/>
      <c r="L84" s="58"/>
    </row>
    <row r="85">
      <c r="B85" s="86" t="s">
        <v>305</v>
      </c>
      <c r="C85" s="86" t="s">
        <v>186</v>
      </c>
      <c r="D85" s="140">
        <v>44201.0</v>
      </c>
      <c r="E85" s="141" t="s">
        <v>246</v>
      </c>
      <c r="F85" s="125" t="s">
        <v>273</v>
      </c>
      <c r="G85" s="86" t="s">
        <v>33</v>
      </c>
      <c r="H85" s="125" t="s">
        <v>273</v>
      </c>
      <c r="I85" s="86" t="s">
        <v>33</v>
      </c>
      <c r="J85" s="143"/>
      <c r="K85" s="143"/>
      <c r="L85" s="58"/>
    </row>
    <row r="86">
      <c r="B86" s="86" t="s">
        <v>306</v>
      </c>
      <c r="C86" s="86" t="s">
        <v>206</v>
      </c>
      <c r="D86" s="140">
        <v>44201.0</v>
      </c>
      <c r="E86" s="141" t="s">
        <v>246</v>
      </c>
      <c r="F86" s="125" t="s">
        <v>273</v>
      </c>
      <c r="G86" s="86" t="s">
        <v>33</v>
      </c>
      <c r="H86" s="125" t="s">
        <v>273</v>
      </c>
      <c r="I86" s="86" t="s">
        <v>33</v>
      </c>
      <c r="J86" s="143"/>
      <c r="K86" s="143"/>
      <c r="L86" s="58"/>
    </row>
    <row r="87">
      <c r="B87" s="86" t="s">
        <v>307</v>
      </c>
      <c r="C87" s="86" t="s">
        <v>216</v>
      </c>
      <c r="D87" s="140">
        <v>44201.0</v>
      </c>
      <c r="E87" s="141" t="s">
        <v>246</v>
      </c>
      <c r="F87" s="125" t="s">
        <v>273</v>
      </c>
      <c r="G87" s="86" t="s">
        <v>33</v>
      </c>
      <c r="H87" s="125" t="s">
        <v>273</v>
      </c>
      <c r="I87" s="86" t="s">
        <v>33</v>
      </c>
      <c r="J87" s="143"/>
      <c r="K87" s="143"/>
      <c r="L87" s="58"/>
    </row>
    <row r="88">
      <c r="B88" s="86" t="s">
        <v>308</v>
      </c>
      <c r="C88" s="86" t="s">
        <v>147</v>
      </c>
      <c r="D88" s="140">
        <v>44201.0</v>
      </c>
      <c r="E88" s="141" t="s">
        <v>246</v>
      </c>
      <c r="F88" s="125" t="s">
        <v>273</v>
      </c>
      <c r="G88" s="86" t="s">
        <v>33</v>
      </c>
      <c r="H88" s="125" t="s">
        <v>273</v>
      </c>
      <c r="I88" s="86" t="s">
        <v>33</v>
      </c>
      <c r="J88" s="143"/>
      <c r="K88" s="143"/>
      <c r="L88" s="58"/>
    </row>
    <row r="89">
      <c r="B89" s="86" t="s">
        <v>309</v>
      </c>
      <c r="C89" s="86" t="s">
        <v>157</v>
      </c>
      <c r="D89" s="140">
        <v>44201.0</v>
      </c>
      <c r="E89" s="141" t="s">
        <v>246</v>
      </c>
      <c r="F89" s="125" t="s">
        <v>273</v>
      </c>
      <c r="G89" s="86" t="s">
        <v>33</v>
      </c>
      <c r="H89" s="125" t="s">
        <v>273</v>
      </c>
      <c r="I89" s="86" t="s">
        <v>33</v>
      </c>
      <c r="J89" s="143"/>
      <c r="K89" s="143"/>
      <c r="L89" s="58"/>
    </row>
    <row r="90">
      <c r="B90" s="86" t="s">
        <v>310</v>
      </c>
      <c r="C90" s="86" t="s">
        <v>167</v>
      </c>
      <c r="D90" s="140">
        <v>44201.0</v>
      </c>
      <c r="E90" s="141" t="s">
        <v>288</v>
      </c>
      <c r="F90" s="125" t="s">
        <v>273</v>
      </c>
      <c r="G90" s="86" t="s">
        <v>33</v>
      </c>
      <c r="H90" s="125" t="s">
        <v>273</v>
      </c>
      <c r="I90" s="86" t="s">
        <v>33</v>
      </c>
      <c r="J90" s="143"/>
      <c r="K90" s="143"/>
      <c r="L90" s="58"/>
    </row>
    <row r="91">
      <c r="B91" s="86" t="s">
        <v>311</v>
      </c>
      <c r="C91" s="86" t="s">
        <v>177</v>
      </c>
      <c r="D91" s="140">
        <v>44201.0</v>
      </c>
      <c r="E91" s="141" t="s">
        <v>288</v>
      </c>
      <c r="F91" s="125" t="s">
        <v>273</v>
      </c>
      <c r="G91" s="86" t="s">
        <v>33</v>
      </c>
      <c r="H91" s="125" t="s">
        <v>273</v>
      </c>
      <c r="I91" s="86" t="s">
        <v>33</v>
      </c>
      <c r="J91" s="143"/>
      <c r="K91" s="143"/>
      <c r="L91" s="58"/>
    </row>
    <row r="92">
      <c r="B92" s="86" t="s">
        <v>312</v>
      </c>
      <c r="C92" s="86" t="s">
        <v>148</v>
      </c>
      <c r="D92" s="140">
        <v>44200.0</v>
      </c>
      <c r="E92" s="141" t="s">
        <v>288</v>
      </c>
      <c r="F92" s="125" t="s">
        <v>273</v>
      </c>
      <c r="G92" s="86" t="s">
        <v>33</v>
      </c>
      <c r="H92" s="125" t="s">
        <v>273</v>
      </c>
      <c r="I92" s="86" t="s">
        <v>33</v>
      </c>
      <c r="J92" s="143"/>
      <c r="K92" s="143"/>
      <c r="L92" s="58"/>
    </row>
    <row r="93">
      <c r="B93" s="86" t="s">
        <v>313</v>
      </c>
      <c r="C93" s="86" t="s">
        <v>158</v>
      </c>
      <c r="D93" s="140">
        <v>44200.0</v>
      </c>
      <c r="E93" s="141" t="s">
        <v>246</v>
      </c>
      <c r="F93" s="125" t="s">
        <v>273</v>
      </c>
      <c r="G93" s="86" t="s">
        <v>33</v>
      </c>
      <c r="H93" s="125" t="s">
        <v>273</v>
      </c>
      <c r="I93" s="86" t="s">
        <v>33</v>
      </c>
      <c r="J93" s="143"/>
      <c r="K93" s="143"/>
      <c r="L93" s="58"/>
    </row>
    <row r="94">
      <c r="B94" s="86" t="s">
        <v>314</v>
      </c>
      <c r="C94" s="86" t="s">
        <v>198</v>
      </c>
      <c r="D94" s="140">
        <v>44200.0</v>
      </c>
      <c r="E94" s="141" t="s">
        <v>246</v>
      </c>
      <c r="F94" s="125" t="s">
        <v>273</v>
      </c>
      <c r="G94" s="86" t="s">
        <v>33</v>
      </c>
      <c r="H94" s="125" t="s">
        <v>273</v>
      </c>
      <c r="I94" s="86" t="s">
        <v>33</v>
      </c>
      <c r="J94" s="143"/>
      <c r="K94" s="143"/>
      <c r="L94" s="58"/>
    </row>
    <row r="95">
      <c r="B95" s="86" t="s">
        <v>315</v>
      </c>
      <c r="C95" s="86" t="s">
        <v>149</v>
      </c>
      <c r="D95" s="140">
        <v>44200.0</v>
      </c>
      <c r="E95" s="141" t="s">
        <v>288</v>
      </c>
      <c r="F95" s="125" t="s">
        <v>273</v>
      </c>
      <c r="G95" s="86" t="s">
        <v>33</v>
      </c>
      <c r="H95" s="125" t="s">
        <v>273</v>
      </c>
      <c r="I95" s="86" t="s">
        <v>33</v>
      </c>
      <c r="J95" s="143"/>
      <c r="K95" s="143"/>
      <c r="L95" s="58"/>
    </row>
    <row r="96">
      <c r="B96" s="86" t="s">
        <v>316</v>
      </c>
      <c r="C96" s="86" t="s">
        <v>159</v>
      </c>
      <c r="D96" s="140">
        <v>44200.0</v>
      </c>
      <c r="E96" s="141" t="s">
        <v>288</v>
      </c>
      <c r="F96" s="125" t="s">
        <v>273</v>
      </c>
      <c r="G96" s="86" t="s">
        <v>33</v>
      </c>
      <c r="H96" s="125" t="s">
        <v>273</v>
      </c>
      <c r="I96" s="86" t="s">
        <v>33</v>
      </c>
      <c r="J96" s="143"/>
      <c r="K96" s="143"/>
      <c r="L96" s="58"/>
    </row>
    <row r="97">
      <c r="B97" s="86" t="s">
        <v>317</v>
      </c>
      <c r="C97" s="86" t="s">
        <v>169</v>
      </c>
      <c r="D97" s="140">
        <v>44200.0</v>
      </c>
      <c r="E97" s="141" t="s">
        <v>288</v>
      </c>
      <c r="F97" s="125" t="s">
        <v>273</v>
      </c>
      <c r="G97" s="86" t="s">
        <v>33</v>
      </c>
      <c r="H97" s="125" t="s">
        <v>273</v>
      </c>
      <c r="I97" s="86" t="s">
        <v>33</v>
      </c>
      <c r="J97" s="143"/>
      <c r="K97" s="143"/>
      <c r="L97" s="58"/>
    </row>
    <row r="98">
      <c r="B98" s="86" t="s">
        <v>318</v>
      </c>
      <c r="C98" s="86" t="s">
        <v>189</v>
      </c>
      <c r="D98" s="140">
        <v>44200.0</v>
      </c>
      <c r="E98" s="141" t="s">
        <v>246</v>
      </c>
      <c r="F98" s="125" t="s">
        <v>273</v>
      </c>
      <c r="G98" s="86" t="s">
        <v>33</v>
      </c>
      <c r="H98" s="125" t="s">
        <v>273</v>
      </c>
      <c r="I98" s="86" t="s">
        <v>33</v>
      </c>
      <c r="J98" s="143"/>
      <c r="K98" s="143"/>
      <c r="L98" s="58"/>
    </row>
    <row r="99">
      <c r="B99" s="86" t="s">
        <v>319</v>
      </c>
      <c r="C99" s="86" t="s">
        <v>199</v>
      </c>
      <c r="D99" s="140">
        <v>44200.0</v>
      </c>
      <c r="E99" s="141" t="s">
        <v>288</v>
      </c>
      <c r="F99" s="125" t="s">
        <v>273</v>
      </c>
      <c r="G99" s="86" t="s">
        <v>33</v>
      </c>
      <c r="H99" s="125" t="s">
        <v>273</v>
      </c>
      <c r="I99" s="86" t="s">
        <v>33</v>
      </c>
      <c r="J99" s="143"/>
      <c r="K99" s="143"/>
      <c r="L99" s="58"/>
    </row>
    <row r="100">
      <c r="B100" s="86" t="s">
        <v>320</v>
      </c>
      <c r="C100" s="86" t="s">
        <v>170</v>
      </c>
      <c r="D100" s="140">
        <v>44200.0</v>
      </c>
      <c r="E100" s="141" t="s">
        <v>246</v>
      </c>
      <c r="F100" s="125" t="s">
        <v>273</v>
      </c>
      <c r="G100" s="86" t="s">
        <v>33</v>
      </c>
      <c r="H100" s="125" t="s">
        <v>273</v>
      </c>
      <c r="I100" s="86" t="s">
        <v>33</v>
      </c>
      <c r="J100" s="143"/>
      <c r="K100" s="143"/>
      <c r="L100" s="58"/>
    </row>
    <row r="101">
      <c r="B101" s="86" t="s">
        <v>321</v>
      </c>
      <c r="C101" s="86" t="s">
        <v>180</v>
      </c>
      <c r="D101" s="140">
        <v>44200.0</v>
      </c>
      <c r="E101" s="141" t="s">
        <v>246</v>
      </c>
      <c r="F101" s="125" t="s">
        <v>273</v>
      </c>
      <c r="G101" s="86" t="s">
        <v>33</v>
      </c>
      <c r="H101" s="125" t="s">
        <v>273</v>
      </c>
      <c r="I101" s="86" t="s">
        <v>33</v>
      </c>
      <c r="J101" s="143"/>
      <c r="K101" s="143"/>
      <c r="L101" s="58"/>
    </row>
    <row r="102">
      <c r="B102" s="86" t="s">
        <v>322</v>
      </c>
      <c r="C102" s="86" t="s">
        <v>200</v>
      </c>
      <c r="D102" s="140">
        <v>44200.0</v>
      </c>
      <c r="E102" s="141" t="s">
        <v>246</v>
      </c>
      <c r="F102" s="125" t="s">
        <v>273</v>
      </c>
      <c r="G102" s="86" t="s">
        <v>33</v>
      </c>
      <c r="H102" s="125" t="s">
        <v>273</v>
      </c>
      <c r="I102" s="86" t="s">
        <v>33</v>
      </c>
      <c r="J102" s="143"/>
      <c r="K102" s="143"/>
      <c r="L102" s="58"/>
    </row>
    <row r="103">
      <c r="B103" s="86" t="s">
        <v>323</v>
      </c>
      <c r="C103" s="86" t="s">
        <v>210</v>
      </c>
      <c r="D103" s="140">
        <v>44200.0</v>
      </c>
      <c r="E103" s="141" t="s">
        <v>246</v>
      </c>
      <c r="F103" s="125" t="s">
        <v>273</v>
      </c>
      <c r="G103" s="86" t="s">
        <v>33</v>
      </c>
      <c r="H103" s="125" t="s">
        <v>273</v>
      </c>
      <c r="I103" s="86" t="s">
        <v>33</v>
      </c>
      <c r="J103" s="143"/>
      <c r="K103" s="143"/>
      <c r="L103" s="58"/>
    </row>
    <row r="104">
      <c r="B104" s="86" t="s">
        <v>324</v>
      </c>
      <c r="C104" s="86" t="s">
        <v>151</v>
      </c>
      <c r="D104" s="140">
        <v>44209.0</v>
      </c>
      <c r="E104" s="141" t="s">
        <v>246</v>
      </c>
      <c r="F104" s="125" t="s">
        <v>273</v>
      </c>
      <c r="G104" s="86" t="s">
        <v>33</v>
      </c>
      <c r="H104" s="125" t="s">
        <v>273</v>
      </c>
      <c r="I104" s="86" t="s">
        <v>33</v>
      </c>
      <c r="J104" s="143"/>
      <c r="K104" s="143"/>
      <c r="L104" s="58"/>
    </row>
    <row r="105">
      <c r="B105" s="86" t="s">
        <v>325</v>
      </c>
      <c r="C105" s="86" t="s">
        <v>171</v>
      </c>
      <c r="D105" s="140">
        <v>44209.0</v>
      </c>
      <c r="E105" s="141" t="s">
        <v>246</v>
      </c>
      <c r="F105" s="125" t="s">
        <v>273</v>
      </c>
      <c r="G105" s="86" t="s">
        <v>33</v>
      </c>
      <c r="H105" s="125" t="s">
        <v>273</v>
      </c>
      <c r="I105" s="86" t="s">
        <v>33</v>
      </c>
      <c r="J105" s="143"/>
      <c r="K105" s="143"/>
      <c r="L105" s="58"/>
    </row>
    <row r="106">
      <c r="B106" s="86" t="s">
        <v>326</v>
      </c>
      <c r="C106" s="86" t="s">
        <v>191</v>
      </c>
      <c r="D106" s="140">
        <v>44209.0</v>
      </c>
      <c r="E106" s="141" t="s">
        <v>246</v>
      </c>
      <c r="F106" s="125" t="s">
        <v>273</v>
      </c>
      <c r="G106" s="86" t="s">
        <v>33</v>
      </c>
      <c r="H106" s="125" t="s">
        <v>273</v>
      </c>
      <c r="I106" s="86" t="s">
        <v>33</v>
      </c>
      <c r="J106" s="143"/>
      <c r="K106" s="143"/>
      <c r="L106" s="58"/>
    </row>
    <row r="107">
      <c r="B107" s="86" t="s">
        <v>327</v>
      </c>
      <c r="C107" s="86" t="s">
        <v>201</v>
      </c>
      <c r="D107" s="140">
        <v>44209.0</v>
      </c>
      <c r="E107" s="141" t="s">
        <v>246</v>
      </c>
      <c r="F107" s="125" t="s">
        <v>273</v>
      </c>
      <c r="G107" s="86" t="s">
        <v>33</v>
      </c>
      <c r="H107" s="125" t="s">
        <v>273</v>
      </c>
      <c r="I107" s="86" t="s">
        <v>33</v>
      </c>
      <c r="J107" s="143"/>
      <c r="K107" s="143"/>
      <c r="L107" s="58"/>
    </row>
    <row r="108">
      <c r="B108" s="86" t="s">
        <v>328</v>
      </c>
      <c r="C108" s="86" t="s">
        <v>10</v>
      </c>
      <c r="D108" s="125" t="s">
        <v>76</v>
      </c>
      <c r="E108" s="125" t="s">
        <v>76</v>
      </c>
      <c r="F108" s="125" t="s">
        <v>76</v>
      </c>
      <c r="G108" s="125" t="s">
        <v>76</v>
      </c>
      <c r="H108" s="125" t="s">
        <v>273</v>
      </c>
      <c r="I108" s="86" t="s">
        <v>33</v>
      </c>
      <c r="J108" s="143"/>
      <c r="K108" s="143"/>
      <c r="L108" s="58"/>
    </row>
    <row r="109">
      <c r="B109" s="86" t="s">
        <v>329</v>
      </c>
      <c r="C109" s="86" t="s">
        <v>11</v>
      </c>
      <c r="D109" s="125" t="s">
        <v>76</v>
      </c>
      <c r="E109" s="125" t="s">
        <v>76</v>
      </c>
      <c r="F109" s="125" t="s">
        <v>76</v>
      </c>
      <c r="G109" s="125" t="s">
        <v>76</v>
      </c>
      <c r="H109" s="125">
        <v>10.88</v>
      </c>
      <c r="I109" s="153" t="s">
        <v>22</v>
      </c>
      <c r="J109" s="143"/>
      <c r="K109" s="143"/>
      <c r="L109" s="58"/>
    </row>
  </sheetData>
  <mergeCells count="90">
    <mergeCell ref="M69:N69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104:N104"/>
    <mergeCell ref="M105:N105"/>
    <mergeCell ref="M106:N106"/>
    <mergeCell ref="M107:N107"/>
    <mergeCell ref="M108:N108"/>
    <mergeCell ref="M109:N109"/>
    <mergeCell ref="M97:N97"/>
    <mergeCell ref="M98:N98"/>
    <mergeCell ref="M99:N99"/>
    <mergeCell ref="M100:N100"/>
    <mergeCell ref="M101:N101"/>
    <mergeCell ref="M102:N102"/>
    <mergeCell ref="M103:N103"/>
    <mergeCell ref="C19:E19"/>
    <mergeCell ref="C20:E20"/>
    <mergeCell ref="B26:C26"/>
    <mergeCell ref="D26:G26"/>
    <mergeCell ref="H26:I26"/>
    <mergeCell ref="J26:L26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</mergeCells>
  <drawing r:id="rId1"/>
</worksheet>
</file>