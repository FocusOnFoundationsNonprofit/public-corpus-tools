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A LoD-Preliminary" sheetId="1" r:id="rId4"/>
    <sheet state="visible" name="1B LoD-Confirmatory" sheetId="2" r:id="rId5"/>
    <sheet state="visible" name="3C Interfering Substances" sheetId="3" r:id="rId6"/>
    <sheet state="visible" name="4 Clinical Evaluation" sheetId="4" r:id="rId7"/>
  </sheets>
  <definedNames/>
  <calcPr/>
</workbook>
</file>

<file path=xl/sharedStrings.xml><?xml version="1.0" encoding="utf-8"?>
<sst xmlns="http://schemas.openxmlformats.org/spreadsheetml/2006/main" count="1291" uniqueCount="285">
  <si>
    <t>1A LoD - Preliminary</t>
  </si>
  <si>
    <t>Plate Map</t>
  </si>
  <si>
    <t>A Row</t>
  </si>
  <si>
    <t>B Row</t>
  </si>
  <si>
    <t>C Row</t>
  </si>
  <si>
    <t>D Row</t>
  </si>
  <si>
    <t>E Row</t>
  </si>
  <si>
    <t>F Row</t>
  </si>
  <si>
    <t>G Row</t>
  </si>
  <si>
    <t>H Row</t>
  </si>
  <si>
    <t>Neg Control</t>
  </si>
  <si>
    <t>Pos Control</t>
  </si>
  <si>
    <t>Line Item Data - Applied Biosystems QuantStudio 7 Pro</t>
  </si>
  <si>
    <t>Summary Data -  Applied Biosystems QuantStudio 7 Pro</t>
  </si>
  <si>
    <t>Concentration 
(copies/mL)</t>
  </si>
  <si>
    <t>Replicate</t>
  </si>
  <si>
    <t>N1 Ct</t>
  </si>
  <si>
    <t>RP Ct</t>
  </si>
  <si>
    <t>Result</t>
  </si>
  <si>
    <t>N1 Mean Ct</t>
  </si>
  <si>
    <t>N1 SD Ct</t>
  </si>
  <si>
    <t>RP Mean Ct</t>
  </si>
  <si>
    <t>RP SD Ct</t>
  </si>
  <si>
    <t>N1 Detected</t>
  </si>
  <si>
    <t>POSITIVE</t>
  </si>
  <si>
    <t>100% (3/3)</t>
  </si>
  <si>
    <t>Undeterm</t>
  </si>
  <si>
    <t>N/A</t>
  </si>
  <si>
    <t>0% (3/3)</t>
  </si>
  <si>
    <t>Undetermined</t>
  </si>
  <si>
    <t>NEGATIVE</t>
  </si>
  <si>
    <t>Negative Control</t>
  </si>
  <si>
    <t>Positive Control</t>
  </si>
  <si>
    <t>1A LoD - Confirmatory</t>
  </si>
  <si>
    <t>Summary Data - Bio-Rad CFX96</t>
  </si>
  <si>
    <t>Summary Data - Applied Biosystems QuantStudio 6 Flex</t>
  </si>
  <si>
    <t>Detected
&lt; Ct 38</t>
  </si>
  <si>
    <t>Detected
&lt; Ct 40</t>
  </si>
  <si>
    <t>100% (21/21)</t>
  </si>
  <si>
    <t>95% (20/21)</t>
  </si>
  <si>
    <t>57% (12/21)</t>
  </si>
  <si>
    <t>90% (19/21)</t>
  </si>
  <si>
    <t>86% (18/21)</t>
  </si>
  <si>
    <t>Line Item Data - Bio-Rad CFX96</t>
  </si>
  <si>
    <t>Line Item Data - Applied Biosystems QuantStudio 6 Flex</t>
  </si>
  <si>
    <t>3C Interfering Substances</t>
  </si>
  <si>
    <t>INF1*</t>
  </si>
  <si>
    <t>INF10*</t>
  </si>
  <si>
    <t>INF1</t>
  </si>
  <si>
    <t>INF10</t>
  </si>
  <si>
    <t>INF3*</t>
  </si>
  <si>
    <t>Positive Control*</t>
  </si>
  <si>
    <t>INF3</t>
  </si>
  <si>
    <t>NOINF*</t>
  </si>
  <si>
    <t>INF4*</t>
  </si>
  <si>
    <t>INF4</t>
  </si>
  <si>
    <t>INF9*</t>
  </si>
  <si>
    <t>INF9</t>
  </si>
  <si>
    <t>Summary Data</t>
  </si>
  <si>
    <t>Specimen ID</t>
  </si>
  <si>
    <t>Interferring
Substance</t>
  </si>
  <si>
    <t>Active Ingredient</t>
  </si>
  <si>
    <t>Concentration</t>
  </si>
  <si>
    <t>Positive Control N1</t>
  </si>
  <si>
    <t>Negative Control N1</t>
  </si>
  <si>
    <t xml:space="preserve">Positive Control RP </t>
  </si>
  <si>
    <t xml:space="preserve">Negative Control RP </t>
  </si>
  <si>
    <t>% Agreement with Expected Results</t>
  </si>
  <si>
    <t>Mean Ct</t>
  </si>
  <si>
    <t>SD Ct</t>
  </si>
  <si>
    <t>Positive Control
Spiked</t>
  </si>
  <si>
    <t>Negative Control
Unspiked</t>
  </si>
  <si>
    <t>Blood</t>
  </si>
  <si>
    <t>1% v/v</t>
  </si>
  <si>
    <t>n/a</t>
  </si>
  <si>
    <t>INF2</t>
  </si>
  <si>
    <t>Nasal Congestion
 Spray</t>
  </si>
  <si>
    <t>Acetaminophen,
 Guaifenesin,
Phenylephrine HCI</t>
  </si>
  <si>
    <t>20% v/v</t>
  </si>
  <si>
    <t>Nasal Allergy 
Spray</t>
  </si>
  <si>
    <t>Oxymetazoline HCl</t>
  </si>
  <si>
    <t>15% v/v</t>
  </si>
  <si>
    <t>Lozenges</t>
  </si>
  <si>
    <t>Menthol</t>
  </si>
  <si>
    <t>10% w/v</t>
  </si>
  <si>
    <t>INF5</t>
  </si>
  <si>
    <t>Mucin</t>
  </si>
  <si>
    <t>0.5% w/v</t>
  </si>
  <si>
    <t>Spiked?</t>
  </si>
  <si>
    <t>Spiked</t>
  </si>
  <si>
    <t>Unspiked</t>
  </si>
  <si>
    <t>INF2*</t>
  </si>
  <si>
    <t>Nasal Allergy
 Spray</t>
  </si>
  <si>
    <t>INF5*</t>
  </si>
  <si>
    <t>INFNONE*</t>
  </si>
  <si>
    <t>None</t>
  </si>
  <si>
    <t>4 Clinical Evaluation</t>
  </si>
  <si>
    <t>ST01</t>
  </si>
  <si>
    <t>ST09</t>
  </si>
  <si>
    <t>ST17</t>
  </si>
  <si>
    <t>ST25</t>
  </si>
  <si>
    <t>ST33</t>
  </si>
  <si>
    <t>ST41</t>
  </si>
  <si>
    <t>ST49</t>
  </si>
  <si>
    <t>ST57</t>
  </si>
  <si>
    <t>ST65</t>
  </si>
  <si>
    <t>ST73</t>
  </si>
  <si>
    <t>ST02</t>
  </si>
  <si>
    <t>ST10</t>
  </si>
  <si>
    <t>ST18</t>
  </si>
  <si>
    <t>ST26</t>
  </si>
  <si>
    <t>ST34</t>
  </si>
  <si>
    <t>ST42</t>
  </si>
  <si>
    <t>ST50</t>
  </si>
  <si>
    <t>ST58</t>
  </si>
  <si>
    <t>ST66</t>
  </si>
  <si>
    <t>ST74</t>
  </si>
  <si>
    <t>ST03</t>
  </si>
  <si>
    <t>ST11</t>
  </si>
  <si>
    <t>ST19</t>
  </si>
  <si>
    <t>ST27</t>
  </si>
  <si>
    <t>ST35</t>
  </si>
  <si>
    <t>ST43</t>
  </si>
  <si>
    <t>ST51</t>
  </si>
  <si>
    <t>ST59</t>
  </si>
  <si>
    <t>ST67</t>
  </si>
  <si>
    <t>ST75</t>
  </si>
  <si>
    <t>ST04</t>
  </si>
  <si>
    <t>ST12</t>
  </si>
  <si>
    <t>ST20</t>
  </si>
  <si>
    <t>ST28</t>
  </si>
  <si>
    <t>ST36</t>
  </si>
  <si>
    <t>ST44</t>
  </si>
  <si>
    <t>ST52</t>
  </si>
  <si>
    <t>ST60</t>
  </si>
  <si>
    <t>ST68</t>
  </si>
  <si>
    <t>ST76</t>
  </si>
  <si>
    <t>ST05</t>
  </si>
  <si>
    <t>ST13</t>
  </si>
  <si>
    <t>ST21</t>
  </si>
  <si>
    <t>ST29</t>
  </si>
  <si>
    <t>ST37</t>
  </si>
  <si>
    <t>ST45</t>
  </si>
  <si>
    <t>ST53</t>
  </si>
  <si>
    <t>ST61</t>
  </si>
  <si>
    <t>ST69</t>
  </si>
  <si>
    <t>ST77</t>
  </si>
  <si>
    <t>ST06</t>
  </si>
  <si>
    <t>ST14</t>
  </si>
  <si>
    <t>ST22</t>
  </si>
  <si>
    <t>ST30</t>
  </si>
  <si>
    <t>ST38</t>
  </si>
  <si>
    <t>ST46</t>
  </si>
  <si>
    <t>ST54</t>
  </si>
  <si>
    <t>ST62</t>
  </si>
  <si>
    <t>ST70</t>
  </si>
  <si>
    <t>ST78</t>
  </si>
  <si>
    <t>ST07</t>
  </si>
  <si>
    <t>ST15</t>
  </si>
  <si>
    <t>ST23</t>
  </si>
  <si>
    <t>ST31</t>
  </si>
  <si>
    <t>ST39</t>
  </si>
  <si>
    <t>ST47</t>
  </si>
  <si>
    <t>ST55</t>
  </si>
  <si>
    <t>ST63</t>
  </si>
  <si>
    <t>ST71</t>
  </si>
  <si>
    <t>ST79</t>
  </si>
  <si>
    <t>ST08</t>
  </si>
  <si>
    <t>ST16</t>
  </si>
  <si>
    <t>ST24</t>
  </si>
  <si>
    <t>ST32</t>
  </si>
  <si>
    <t>ST40</t>
  </si>
  <si>
    <t>ST48</t>
  </si>
  <si>
    <t>ST56</t>
  </si>
  <si>
    <t>ST64</t>
  </si>
  <si>
    <t>ST72</t>
  </si>
  <si>
    <t>ST80</t>
  </si>
  <si>
    <t xml:space="preserve">Summary Data </t>
  </si>
  <si>
    <t>FloodLAMP SwabDirect PCR Result</t>
  </si>
  <si>
    <t>Comparator Positive</t>
  </si>
  <si>
    <t>Comparator Negative</t>
  </si>
  <si>
    <t>Total</t>
  </si>
  <si>
    <t>Positive</t>
  </si>
  <si>
    <t>Negative</t>
  </si>
  <si>
    <t>Invalid</t>
  </si>
  <si>
    <t>Positive Agreement</t>
  </si>
  <si>
    <t>97.5% (39/40) 95% CI: 86.8% to 99.9%</t>
  </si>
  <si>
    <t>Negative Agreement</t>
  </si>
  <si>
    <t>100% (40/40) 95% CI: 91.2% to 100%</t>
  </si>
  <si>
    <t>Source of Specimens: Stanford COVID-19 Clinical Testing Program</t>
  </si>
  <si>
    <t>Specimen Type: Anterior Nares Swab in PBS, previously tested and frozen</t>
  </si>
  <si>
    <t>Comparator Test: Hologic Panther Fusion SARS-CoV-2 Assay and Hologic Panther Aptima SARS-CoV-2 Assay</t>
  </si>
  <si>
    <t xml:space="preserve">Line Item Data </t>
  </si>
  <si>
    <t>Comparator - Hologic Panther</t>
  </si>
  <si>
    <t>FloodLAMP SwabDirect PCR - Bio-Rad CFX96</t>
  </si>
  <si>
    <t>Well</t>
  </si>
  <si>
    <t>Comparator Test Date</t>
  </si>
  <si>
    <t>Comparator Test Assay</t>
  </si>
  <si>
    <t>Comparator Ct</t>
  </si>
  <si>
    <t>Comparator Result</t>
  </si>
  <si>
    <t>D01</t>
  </si>
  <si>
    <t>Panther Fusion</t>
  </si>
  <si>
    <t>Und</t>
  </si>
  <si>
    <t>C05</t>
  </si>
  <si>
    <t>H07</t>
  </si>
  <si>
    <t>G03</t>
  </si>
  <si>
    <t>C04</t>
  </si>
  <si>
    <t>E09</t>
  </si>
  <si>
    <t>F02</t>
  </si>
  <si>
    <t>B02</t>
  </si>
  <si>
    <t>E07</t>
  </si>
  <si>
    <t>D08</t>
  </si>
  <si>
    <t>A04</t>
  </si>
  <si>
    <t>F03</t>
  </si>
  <si>
    <t>G02</t>
  </si>
  <si>
    <t>B03</t>
  </si>
  <si>
    <t>H03</t>
  </si>
  <si>
    <t>E06</t>
  </si>
  <si>
    <t>G08</t>
  </si>
  <si>
    <t>D07</t>
  </si>
  <si>
    <t>H06</t>
  </si>
  <si>
    <t>E04</t>
  </si>
  <si>
    <t>B09</t>
  </si>
  <si>
    <t>F01</t>
  </si>
  <si>
    <t>F05</t>
  </si>
  <si>
    <t>F04</t>
  </si>
  <si>
    <t>D10</t>
  </si>
  <si>
    <t>G07</t>
  </si>
  <si>
    <t>D03</t>
  </si>
  <si>
    <t>H10</t>
  </si>
  <si>
    <t>H08</t>
  </si>
  <si>
    <t>H09</t>
  </si>
  <si>
    <t>B10</t>
  </si>
  <si>
    <t>G06</t>
  </si>
  <si>
    <t>A09</t>
  </si>
  <si>
    <t>D02</t>
  </si>
  <si>
    <t>B05</t>
  </si>
  <si>
    <t>F06</t>
  </si>
  <si>
    <t>C02</t>
  </si>
  <si>
    <t>C07</t>
  </si>
  <si>
    <t>G10</t>
  </si>
  <si>
    <t>D05</t>
  </si>
  <si>
    <t>A01</t>
  </si>
  <si>
    <t>Panther Aptima</t>
  </si>
  <si>
    <t>B01</t>
  </si>
  <si>
    <t>C01</t>
  </si>
  <si>
    <t>E01</t>
  </si>
  <si>
    <t>G01</t>
  </si>
  <si>
    <t>H01</t>
  </si>
  <si>
    <t>A02</t>
  </si>
  <si>
    <t>E02</t>
  </si>
  <si>
    <t>H02</t>
  </si>
  <si>
    <t>A03</t>
  </si>
  <si>
    <t>C03</t>
  </si>
  <si>
    <t>E03</t>
  </si>
  <si>
    <t>B04</t>
  </si>
  <si>
    <t>D04</t>
  </si>
  <si>
    <t>G04</t>
  </si>
  <si>
    <t>H04</t>
  </si>
  <si>
    <t>A05</t>
  </si>
  <si>
    <t>E05</t>
  </si>
  <si>
    <t>G05</t>
  </si>
  <si>
    <t>H05</t>
  </si>
  <si>
    <t>A06</t>
  </si>
  <si>
    <t>B06</t>
  </si>
  <si>
    <t>C06</t>
  </si>
  <si>
    <t>D06</t>
  </si>
  <si>
    <t>A07</t>
  </si>
  <si>
    <t>B07</t>
  </si>
  <si>
    <t>F07</t>
  </si>
  <si>
    <t>A08</t>
  </si>
  <si>
    <t>B08</t>
  </si>
  <si>
    <t>C08</t>
  </si>
  <si>
    <t>E08</t>
  </si>
  <si>
    <t>F08</t>
  </si>
  <si>
    <t>C09</t>
  </si>
  <si>
    <t>D09</t>
  </si>
  <si>
    <t>F09</t>
  </si>
  <si>
    <t>G09</t>
  </si>
  <si>
    <t>A10</t>
  </si>
  <si>
    <t>C10</t>
  </si>
  <si>
    <t>E10</t>
  </si>
  <si>
    <t>F10</t>
  </si>
  <si>
    <t>B11</t>
  </si>
  <si>
    <t>A11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</si>
</sst>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yy"/>
  </numFmts>
  <fonts count="18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sz val="11.0"/>
      <color rgb="FFFFFFFF"/>
      <name val="Arial"/>
    </font>
    <font>
      <sz val="11.0"/>
      <color rgb="FFFFFFFF"/>
      <name val="Arial"/>
      <scheme val="minor"/>
    </font>
    <font>
      <color rgb="FF000000"/>
      <name val="Arial"/>
    </font>
    <font>
      <sz val="11.0"/>
      <color rgb="FF000000"/>
      <name val="Arial"/>
      <scheme val="minor"/>
    </font>
    <font>
      <color theme="1"/>
      <name val="Arial"/>
      <scheme val="minor"/>
    </font>
    <font/>
    <font>
      <sz val="12.0"/>
      <color theme="1"/>
      <name val="Arial"/>
    </font>
    <font>
      <b/>
      <color theme="1"/>
      <name val="Arial"/>
    </font>
    <font>
      <b/>
      <sz val="14.0"/>
      <color rgb="FF222222"/>
      <name val="&quot;Google Sans&quot;"/>
    </font>
    <font>
      <sz val="11.0"/>
      <color rgb="FF000000"/>
      <name val="Arial"/>
    </font>
    <font>
      <sz val="11.0"/>
      <color rgb="FF000000"/>
      <name val="Calibri"/>
    </font>
    <font>
      <sz val="11.0"/>
      <color rgb="FF444444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1" fillId="0" fontId="4" numFmtId="1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3" numFmtId="3" xfId="0" applyAlignment="1" applyBorder="1" applyFont="1" applyNumberForma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readingOrder="0" vertical="bottom"/>
    </xf>
    <xf borderId="2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2" fillId="0" fontId="3" numFmtId="0" xfId="0" applyAlignment="1" applyBorder="1" applyFont="1">
      <alignment readingOrder="0" vertical="bottom"/>
    </xf>
    <xf borderId="2" fillId="0" fontId="5" numFmtId="0" xfId="0" applyAlignment="1" applyBorder="1" applyFont="1">
      <alignment vertical="bottom"/>
    </xf>
    <xf borderId="3" fillId="2" fontId="6" numFmtId="0" xfId="0" applyAlignment="1" applyBorder="1" applyFill="1" applyFont="1">
      <alignment horizontal="center" readingOrder="0" vertical="bottom"/>
    </xf>
    <xf borderId="1" fillId="2" fontId="7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readingOrder="0" shrinkToFit="0" vertical="bottom" wrapText="1"/>
    </xf>
    <xf borderId="1" fillId="2" fontId="6" numFmtId="0" xfId="0" applyAlignment="1" applyBorder="1" applyFont="1">
      <alignment horizontal="center" readingOrder="0" vertical="bottom"/>
    </xf>
    <xf borderId="4" fillId="2" fontId="6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3" fillId="2" fontId="6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vertical="bottom"/>
    </xf>
    <xf borderId="5" fillId="0" fontId="5" numFmtId="3" xfId="0" applyAlignment="1" applyBorder="1" applyFont="1" applyNumberFormat="1">
      <alignment vertical="bottom"/>
    </xf>
    <xf borderId="3" fillId="0" fontId="3" numFmtId="3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 readingOrder="0" vertical="bottom"/>
    </xf>
    <xf borderId="3" fillId="0" fontId="3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5" fillId="0" fontId="3" numFmtId="3" xfId="0" applyAlignment="1" applyBorder="1" applyFont="1" applyNumberFormat="1">
      <alignment horizontal="center" vertical="bottom"/>
    </xf>
    <xf borderId="6" fillId="0" fontId="2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0" fillId="3" fontId="8" numFmtId="164" xfId="0" applyAlignment="1" applyFill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4" numFmtId="1" xfId="0" applyAlignment="1" applyFont="1" applyNumberFormat="1">
      <alignment horizontal="center" vertical="bottom"/>
    </xf>
    <xf borderId="0" fillId="0" fontId="3" numFmtId="3" xfId="0" applyAlignment="1" applyFont="1" applyNumberFormat="1">
      <alignment horizontal="center" readingOrder="0" vertical="bottom"/>
    </xf>
    <xf borderId="1" fillId="0" fontId="3" numFmtId="1" xfId="0" applyAlignment="1" applyBorder="1" applyFont="1" applyNumberFormat="1">
      <alignment horizontal="center" vertical="bottom"/>
    </xf>
    <xf borderId="1" fillId="0" fontId="3" numFmtId="1" xfId="0" applyAlignment="1" applyBorder="1" applyFont="1" applyNumberFormat="1">
      <alignment horizontal="center" readingOrder="0" vertical="bottom"/>
    </xf>
    <xf borderId="1" fillId="2" fontId="6" numFmtId="0" xfId="0" applyAlignment="1" applyBorder="1" applyFont="1">
      <alignment horizontal="center" vertical="bottom"/>
    </xf>
    <xf borderId="5" fillId="2" fontId="6" numFmtId="0" xfId="0" applyAlignment="1" applyBorder="1" applyFont="1">
      <alignment horizontal="center" vertical="bottom"/>
    </xf>
    <xf borderId="6" fillId="2" fontId="7" numFmtId="0" xfId="0" applyAlignment="1" applyBorder="1" applyFont="1">
      <alignment horizontal="center" readingOrder="0" shrinkToFit="0" vertical="bottom" wrapText="1"/>
    </xf>
    <xf borderId="6" fillId="2" fontId="6" numFmtId="0" xfId="0" applyAlignment="1" applyBorder="1" applyFont="1">
      <alignment horizontal="center" readingOrder="0" vertical="bottom"/>
    </xf>
    <xf borderId="1" fillId="0" fontId="3" numFmtId="3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0" fillId="0" fontId="8" numFmtId="164" xfId="0" applyAlignment="1" applyFont="1" applyNumberFormat="1">
      <alignment horizontal="center" vertical="bottom"/>
    </xf>
    <xf borderId="0" fillId="0" fontId="5" numFmtId="0" xfId="0" applyAlignment="1" applyFont="1">
      <alignment vertical="bottom"/>
    </xf>
    <xf borderId="7" fillId="2" fontId="6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shrinkToFit="0" vertical="bottom" wrapText="1"/>
    </xf>
    <xf borderId="8" fillId="2" fontId="7" numFmtId="0" xfId="0" applyAlignment="1" applyBorder="1" applyFont="1">
      <alignment horizontal="center" readingOrder="0" vertical="bottom"/>
    </xf>
    <xf borderId="9" fillId="2" fontId="6" numFmtId="0" xfId="0" applyAlignment="1" applyBorder="1" applyFont="1">
      <alignment horizontal="center" vertical="bottom"/>
    </xf>
    <xf borderId="10" fillId="2" fontId="6" numFmtId="0" xfId="0" applyAlignment="1" applyBorder="1" applyFont="1">
      <alignment horizontal="center" vertical="bottom"/>
    </xf>
    <xf borderId="11" fillId="2" fontId="7" numFmtId="0" xfId="0" applyAlignment="1" applyBorder="1" applyFont="1">
      <alignment horizontal="center" vertical="bottom"/>
    </xf>
    <xf borderId="11" fillId="2" fontId="7" numFmtId="0" xfId="0" applyAlignment="1" applyBorder="1" applyFont="1">
      <alignment horizontal="center" readingOrder="0" shrinkToFit="0" vertical="bottom" wrapText="1"/>
    </xf>
    <xf borderId="11" fillId="2" fontId="7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12" fillId="0" fontId="3" numFmtId="3" xfId="0" applyAlignment="1" applyBorder="1" applyFont="1" applyNumberFormat="1">
      <alignment horizontal="center" vertical="bottom"/>
    </xf>
    <xf borderId="13" fillId="0" fontId="2" numFmtId="0" xfId="0" applyAlignment="1" applyBorder="1" applyFont="1">
      <alignment horizontal="center" vertical="bottom"/>
    </xf>
    <xf borderId="13" fillId="0" fontId="2" numFmtId="164" xfId="0" applyAlignment="1" applyBorder="1" applyFont="1" applyNumberFormat="1">
      <alignment horizontal="center" readingOrder="0" vertical="bottom"/>
    </xf>
    <xf borderId="14" fillId="0" fontId="3" numFmtId="0" xfId="0" applyAlignment="1" applyBorder="1" applyFont="1">
      <alignment horizontal="center" vertical="bottom"/>
    </xf>
    <xf borderId="0" fillId="0" fontId="9" numFmtId="0" xfId="0" applyAlignment="1" applyFont="1">
      <alignment horizontal="center" readingOrder="0" shrinkToFit="0" vertical="bottom" wrapText="1"/>
    </xf>
    <xf borderId="12" fillId="0" fontId="2" numFmtId="3" xfId="0" applyAlignment="1" applyBorder="1" applyFont="1" applyNumberFormat="1">
      <alignment horizontal="center" readingOrder="0" vertical="bottom"/>
    </xf>
    <xf borderId="15" fillId="0" fontId="3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/>
    </xf>
    <xf borderId="13" fillId="0" fontId="2" numFmtId="164" xfId="0" applyAlignment="1" applyBorder="1" applyFont="1" applyNumberFormat="1">
      <alignment horizontal="center" vertical="bottom"/>
    </xf>
    <xf borderId="16" fillId="0" fontId="2" numFmtId="0" xfId="0" applyAlignment="1" applyBorder="1" applyFont="1">
      <alignment horizontal="center" vertical="bottom"/>
    </xf>
    <xf borderId="17" fillId="0" fontId="2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18" fillId="0" fontId="2" numFmtId="164" xfId="0" applyAlignment="1" applyBorder="1" applyFont="1" applyNumberFormat="1">
      <alignment horizontal="center" vertical="bottom"/>
    </xf>
    <xf borderId="19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15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20" fillId="0" fontId="2" numFmtId="0" xfId="0" applyAlignment="1" applyBorder="1" applyFont="1">
      <alignment horizontal="center" vertical="bottom"/>
    </xf>
    <xf borderId="21" fillId="0" fontId="2" numFmtId="0" xfId="0" applyAlignment="1" applyBorder="1" applyFont="1">
      <alignment horizontal="center" vertical="bottom"/>
    </xf>
    <xf borderId="21" fillId="0" fontId="2" numFmtId="164" xfId="0" applyAlignment="1" applyBorder="1" applyFont="1" applyNumberFormat="1">
      <alignment horizontal="center" vertical="bottom"/>
    </xf>
    <xf borderId="22" fillId="0" fontId="3" numFmtId="0" xfId="0" applyAlignment="1" applyBorder="1" applyFont="1">
      <alignment horizontal="center" vertical="bottom"/>
    </xf>
    <xf borderId="22" fillId="0" fontId="3" numFmtId="0" xfId="0" applyAlignment="1" applyBorder="1" applyFont="1">
      <alignment horizontal="center" vertical="bottom"/>
    </xf>
    <xf borderId="23" fillId="0" fontId="2" numFmtId="164" xfId="0" applyAlignment="1" applyBorder="1" applyFont="1" applyNumberFormat="1">
      <alignment horizontal="center" vertical="bottom"/>
    </xf>
    <xf borderId="24" fillId="0" fontId="2" numFmtId="0" xfId="0" applyAlignment="1" applyBorder="1" applyFont="1">
      <alignment horizontal="center" vertical="bottom"/>
    </xf>
    <xf borderId="14" fillId="0" fontId="3" numFmtId="0" xfId="0" applyAlignment="1" applyBorder="1" applyFont="1">
      <alignment horizontal="center" vertical="bottom"/>
    </xf>
    <xf borderId="25" fillId="0" fontId="2" numFmtId="3" xfId="0" applyAlignment="1" applyBorder="1" applyFont="1" applyNumberForma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4" fillId="0" fontId="2" numFmtId="164" xfId="0" applyAlignment="1" applyBorder="1" applyFont="1" applyNumberFormat="1">
      <alignment horizontal="center" vertical="bottom"/>
    </xf>
    <xf borderId="15" fillId="0" fontId="2" numFmtId="0" xfId="0" applyAlignment="1" applyBorder="1" applyFont="1">
      <alignment horizontal="center" vertical="bottom"/>
    </xf>
    <xf borderId="1" fillId="4" fontId="2" numFmtId="0" xfId="0" applyAlignment="1" applyBorder="1" applyFill="1" applyFont="1">
      <alignment horizontal="center" vertical="bottom"/>
    </xf>
    <xf borderId="1" fillId="4" fontId="2" numFmtId="164" xfId="0" applyAlignment="1" applyBorder="1" applyFont="1" applyNumberFormat="1">
      <alignment horizontal="center" readingOrder="0" vertical="bottom"/>
    </xf>
    <xf borderId="15" fillId="4" fontId="3" numFmtId="0" xfId="0" applyAlignment="1" applyBorder="1" applyFont="1">
      <alignment horizontal="center" readingOrder="0" vertical="bottom"/>
    </xf>
    <xf borderId="19" fillId="4" fontId="2" numFmtId="0" xfId="0" applyAlignment="1" applyBorder="1" applyFont="1">
      <alignment horizontal="center" readingOrder="0" vertical="bottom"/>
    </xf>
    <xf borderId="21" fillId="0" fontId="2" numFmtId="164" xfId="0" applyAlignment="1" applyBorder="1" applyFont="1" applyNumberFormat="1">
      <alignment horizontal="center" readingOrder="0" vertical="bottom"/>
    </xf>
    <xf borderId="22" fillId="0" fontId="3" numFmtId="0" xfId="0" applyAlignment="1" applyBorder="1" applyFont="1">
      <alignment horizontal="center" readingOrder="0" vertical="bottom"/>
    </xf>
    <xf borderId="12" fillId="0" fontId="3" numFmtId="3" xfId="0" applyAlignment="1" applyBorder="1" applyFont="1" applyNumberFormat="1">
      <alignment horizontal="center" readingOrder="0" vertical="bottom"/>
    </xf>
    <xf borderId="13" fillId="4" fontId="2" numFmtId="0" xfId="0" applyAlignment="1" applyBorder="1" applyFont="1">
      <alignment horizontal="center" vertical="bottom"/>
    </xf>
    <xf borderId="14" fillId="4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left" readingOrder="0" vertical="bottom"/>
    </xf>
    <xf borderId="17" fillId="0" fontId="2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center"/>
    </xf>
    <xf borderId="1" fillId="4" fontId="2" numFmtId="164" xfId="0" applyAlignment="1" applyBorder="1" applyFont="1" applyNumberFormat="1">
      <alignment horizontal="center" vertical="bottom"/>
    </xf>
    <xf borderId="17" fillId="0" fontId="10" numFmtId="0" xfId="0" applyAlignment="1" applyBorder="1" applyFont="1">
      <alignment horizontal="center"/>
    </xf>
    <xf borderId="26" fillId="0" fontId="10" numFmtId="0" xfId="0" applyAlignment="1" applyBorder="1" applyFont="1">
      <alignment horizontal="center"/>
    </xf>
    <xf borderId="6" fillId="4" fontId="2" numFmtId="0" xfId="0" applyAlignment="1" applyBorder="1" applyFont="1">
      <alignment horizontal="center" vertical="bottom"/>
    </xf>
    <xf borderId="6" fillId="4" fontId="2" numFmtId="164" xfId="0" applyAlignment="1" applyBorder="1" applyFont="1" applyNumberFormat="1">
      <alignment horizontal="center" readingOrder="0" vertical="bottom"/>
    </xf>
    <xf borderId="12" fillId="0" fontId="3" numFmtId="0" xfId="0" applyAlignment="1" applyBorder="1" applyFont="1">
      <alignment horizontal="center" readingOrder="0" vertical="bottom"/>
    </xf>
    <xf borderId="13" fillId="0" fontId="3" numFmtId="0" xfId="0" applyAlignment="1" applyBorder="1" applyFont="1">
      <alignment horizontal="center" vertical="bottom"/>
    </xf>
    <xf borderId="14" fillId="0" fontId="5" numFmtId="0" xfId="0" applyAlignment="1" applyBorder="1" applyFont="1">
      <alignment horizontal="center" vertical="bottom"/>
    </xf>
    <xf borderId="12" fillId="0" fontId="2" numFmtId="0" xfId="0" applyAlignment="1" applyBorder="1" applyFont="1">
      <alignment horizontal="center" vertical="bottom"/>
    </xf>
    <xf borderId="14" fillId="0" fontId="2" numFmtId="0" xfId="0" applyAlignment="1" applyBorder="1" applyFont="1">
      <alignment horizontal="center" vertical="bottom"/>
    </xf>
    <xf borderId="17" fillId="0" fontId="10" numFmtId="0" xfId="0" applyBorder="1" applyFont="1"/>
    <xf borderId="1" fillId="0" fontId="3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  <xf borderId="21" fillId="0" fontId="3" numFmtId="0" xfId="0" applyAlignment="1" applyBorder="1" applyFont="1">
      <alignment horizontal="center" readingOrder="0" vertical="bottom"/>
    </xf>
    <xf borderId="24" fillId="0" fontId="5" numFmtId="0" xfId="0" applyAlignment="1" applyBorder="1" applyFont="1">
      <alignment horizontal="center" vertical="bottom"/>
    </xf>
    <xf borderId="24" fillId="0" fontId="2" numFmtId="0" xfId="0" applyAlignment="1" applyBorder="1" applyFont="1">
      <alignment horizontal="center" readingOrder="0" vertical="bottom"/>
    </xf>
    <xf borderId="25" fillId="0" fontId="3" numFmtId="0" xfId="0" applyAlignment="1" applyBorder="1" applyFont="1">
      <alignment horizontal="center" readingOrder="0" vertical="bottom"/>
    </xf>
    <xf borderId="15" fillId="0" fontId="5" numFmtId="0" xfId="0" applyAlignment="1" applyBorder="1" applyFont="1">
      <alignment horizontal="center" vertical="bottom"/>
    </xf>
    <xf borderId="12" fillId="0" fontId="2" numFmtId="0" xfId="0" applyAlignment="1" applyBorder="1" applyFont="1">
      <alignment horizontal="center" readingOrder="0" vertical="bottom"/>
    </xf>
    <xf borderId="17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vertical="bottom"/>
    </xf>
    <xf borderId="20" fillId="0" fontId="10" numFmtId="0" xfId="0" applyBorder="1" applyFont="1"/>
    <xf borderId="27" fillId="0" fontId="3" numFmtId="0" xfId="0" applyAlignment="1" applyBorder="1" applyFont="1">
      <alignment horizontal="center" readingOrder="0" vertical="bottom"/>
    </xf>
    <xf borderId="28" fillId="0" fontId="3" numFmtId="0" xfId="0" applyAlignment="1" applyBorder="1" applyFont="1">
      <alignment horizontal="center" vertical="bottom"/>
    </xf>
    <xf borderId="29" fillId="0" fontId="2" numFmtId="164" xfId="0" applyAlignment="1" applyBorder="1" applyFont="1" applyNumberFormat="1">
      <alignment horizontal="center" vertical="bottom"/>
    </xf>
    <xf borderId="22" fillId="0" fontId="5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vertical="bottom"/>
    </xf>
    <xf borderId="9" fillId="0" fontId="2" numFmtId="0" xfId="0" applyAlignment="1" applyBorder="1" applyFont="1">
      <alignment horizontal="center" vertical="bottom"/>
    </xf>
    <xf borderId="8" fillId="0" fontId="2" numFmtId="164" xfId="0" applyAlignment="1" applyBorder="1" applyFont="1" applyNumberFormat="1">
      <alignment horizontal="center" vertical="bottom"/>
    </xf>
    <xf borderId="0" fillId="0" fontId="5" numFmtId="1" xfId="0" applyAlignment="1" applyFont="1" applyNumberFormat="1">
      <alignment horizontal="center" vertical="bottom"/>
    </xf>
    <xf borderId="0" fillId="0" fontId="5" numFmtId="164" xfId="0" applyAlignment="1" applyFont="1" applyNumberFormat="1">
      <alignment vertical="bottom"/>
    </xf>
    <xf borderId="18" fillId="0" fontId="2" numFmtId="0" xfId="0" applyAlignment="1" applyBorder="1" applyFont="1">
      <alignment horizontal="center" readingOrder="0"/>
    </xf>
    <xf borderId="30" fillId="0" fontId="11" numFmtId="0" xfId="0" applyBorder="1" applyFont="1"/>
    <xf borderId="31" fillId="0" fontId="11" numFmtId="0" xfId="0" applyBorder="1" applyFont="1"/>
    <xf borderId="0" fillId="3" fontId="12" numFmtId="3" xfId="0" applyAlignment="1" applyFont="1" applyNumberFormat="1">
      <alignment horizontal="center" vertical="bottom"/>
    </xf>
    <xf borderId="1" fillId="3" fontId="12" numFmtId="3" xfId="0" applyAlignment="1" applyBorder="1" applyFont="1" applyNumberFormat="1">
      <alignment horizontal="center" vertical="bottom"/>
    </xf>
    <xf borderId="1" fillId="0" fontId="12" numFmtId="3" xfId="0" applyAlignment="1" applyBorder="1" applyFont="1" applyNumberFormat="1">
      <alignment horizontal="center" readingOrder="0" vertical="bottom"/>
    </xf>
    <xf borderId="1" fillId="0" fontId="12" numFmtId="3" xfId="0" applyAlignment="1" applyBorder="1" applyFont="1" applyNumberFormat="1">
      <alignment horizontal="center" vertical="bottom"/>
    </xf>
    <xf borderId="1" fillId="3" fontId="12" numFmtId="3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vertical="bottom"/>
    </xf>
    <xf borderId="1" fillId="3" fontId="12" numFmtId="164" xfId="0" applyAlignment="1" applyBorder="1" applyFont="1" applyNumberFormat="1">
      <alignment horizontal="center" vertical="bottom"/>
    </xf>
    <xf borderId="1" fillId="0" fontId="12" numFmtId="164" xfId="0" applyAlignment="1" applyBorder="1" applyFont="1" applyNumberFormat="1">
      <alignment horizontal="center" vertical="bottom"/>
    </xf>
    <xf borderId="0" fillId="0" fontId="2" numFmtId="0" xfId="0" applyAlignment="1" applyFont="1">
      <alignment horizontal="left" vertical="bottom"/>
    </xf>
    <xf borderId="32" fillId="2" fontId="7" numFmtId="0" xfId="0" applyAlignment="1" applyBorder="1" applyFont="1">
      <alignment horizontal="center" readingOrder="0" vertical="bottom"/>
    </xf>
    <xf borderId="32" fillId="2" fontId="7" numFmtId="0" xfId="0" applyAlignment="1" applyBorder="1" applyFont="1">
      <alignment horizontal="center" vertical="bottom"/>
    </xf>
    <xf borderId="18" fillId="2" fontId="6" numFmtId="0" xfId="0" applyAlignment="1" applyBorder="1" applyFont="1">
      <alignment horizontal="center" readingOrder="0" vertical="bottom"/>
    </xf>
    <xf borderId="18" fillId="2" fontId="6" numFmtId="0" xfId="0" applyAlignment="1" applyBorder="1" applyFont="1">
      <alignment horizontal="center" vertical="bottom"/>
    </xf>
    <xf borderId="3" fillId="0" fontId="11" numFmtId="0" xfId="0" applyBorder="1" applyFont="1"/>
    <xf borderId="4" fillId="2" fontId="6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vertical="bottom"/>
    </xf>
    <xf borderId="0" fillId="2" fontId="7" numFmtId="0" xfId="0" applyAlignment="1" applyFont="1">
      <alignment readingOrder="0" vertical="bottom"/>
    </xf>
    <xf borderId="1" fillId="2" fontId="7" numFmtId="0" xfId="0" applyAlignment="1" applyBorder="1" applyFont="1">
      <alignment horizontal="center" readingOrder="0" vertical="bottom"/>
    </xf>
    <xf borderId="1" fillId="2" fontId="7" numFmtId="0" xfId="0" applyAlignment="1" applyBorder="1" applyFont="1">
      <alignment horizontal="center" readingOrder="0" vertical="bottom"/>
    </xf>
    <xf borderId="0" fillId="0" fontId="13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1" fillId="0" fontId="2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right" readingOrder="0" vertical="bottom"/>
    </xf>
    <xf borderId="0" fillId="3" fontId="14" numFmtId="0" xfId="0" applyAlignment="1" applyFont="1">
      <alignment readingOrder="0"/>
    </xf>
    <xf borderId="1" fillId="0" fontId="4" numFmtId="1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readingOrder="0" vertical="bottom"/>
    </xf>
    <xf borderId="1" fillId="2" fontId="6" numFmtId="0" xfId="0" applyAlignment="1" applyBorder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vertical="bottom" wrapText="1"/>
    </xf>
    <xf borderId="1" fillId="0" fontId="2" numFmtId="1" xfId="0" applyAlignment="1" applyBorder="1" applyFont="1" applyNumberFormat="1">
      <alignment horizontal="center" readingOrder="0" vertical="bottom"/>
    </xf>
    <xf borderId="0" fillId="0" fontId="3" numFmtId="3" xfId="0" applyAlignment="1" applyFont="1" applyNumberFormat="1">
      <alignment horizontal="center" vertical="bottom"/>
    </xf>
    <xf borderId="18" fillId="0" fontId="2" numFmtId="164" xfId="0" applyAlignment="1" applyBorder="1" applyFont="1" applyNumberFormat="1">
      <alignment horizontal="center" readingOrder="0" vertical="bottom"/>
    </xf>
    <xf borderId="0" fillId="3" fontId="15" numFmtId="0" xfId="0" applyAlignment="1" applyFont="1">
      <alignment horizontal="left" readingOrder="0"/>
    </xf>
    <xf borderId="18" fillId="0" fontId="2" numFmtId="0" xfId="0" applyAlignment="1" applyBorder="1" applyFont="1">
      <alignment readingOrder="0"/>
    </xf>
    <xf borderId="30" fillId="0" fontId="2" numFmtId="0" xfId="0" applyBorder="1" applyFont="1"/>
    <xf borderId="33" fillId="3" fontId="15" numFmtId="0" xfId="0" applyAlignment="1" applyBorder="1" applyFont="1">
      <alignment horizontal="left" readingOrder="0"/>
    </xf>
    <xf borderId="34" fillId="0" fontId="2" numFmtId="0" xfId="0" applyAlignment="1" applyBorder="1" applyFont="1">
      <alignment readingOrder="0"/>
    </xf>
    <xf borderId="32" fillId="0" fontId="2" numFmtId="0" xfId="0" applyBorder="1" applyFont="1"/>
    <xf borderId="18" fillId="2" fontId="6" numFmtId="0" xfId="0" applyAlignment="1" applyBorder="1" applyFont="1">
      <alignment horizontal="center" readingOrder="0" shrinkToFit="0" vertical="bottom" wrapText="1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1" fillId="3" fontId="15" numFmtId="165" xfId="0" applyAlignment="1" applyBorder="1" applyFont="1" applyNumberFormat="1">
      <alignment horizontal="center" readingOrder="0" vertical="bottom"/>
    </xf>
    <xf borderId="1" fillId="3" fontId="15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horizontal="center" readingOrder="0" vertical="bottom"/>
    </xf>
    <xf borderId="0" fillId="3" fontId="16" numFmtId="0" xfId="0" applyAlignment="1" applyFont="1">
      <alignment horizontal="center" readingOrder="0" vertical="bottom"/>
    </xf>
    <xf borderId="0" fillId="0" fontId="5" numFmtId="3" xfId="0" applyAlignment="1" applyFont="1" applyNumberFormat="1">
      <alignment horizontal="center" vertical="bottom"/>
    </xf>
    <xf borderId="0" fillId="3" fontId="16" numFmtId="0" xfId="0" applyAlignment="1" applyFont="1">
      <alignment horizontal="center" readingOrder="0"/>
    </xf>
    <xf borderId="0" fillId="3" fontId="17" numFmtId="0" xfId="0" applyAlignment="1" applyFont="1">
      <alignment horizontal="center" readingOrder="0" vertical="bottom"/>
    </xf>
    <xf borderId="1" fillId="4" fontId="3" numFmtId="0" xfId="0" applyAlignment="1" applyBorder="1" applyFont="1">
      <alignment horizontal="center" vertical="bottom"/>
    </xf>
    <xf borderId="1" fillId="4" fontId="15" numFmtId="165" xfId="0" applyAlignment="1" applyBorder="1" applyFont="1" applyNumberFormat="1">
      <alignment horizontal="center" readingOrder="0" vertical="bottom"/>
    </xf>
    <xf borderId="1" fillId="4" fontId="15" numFmtId="0" xfId="0" applyAlignment="1" applyBorder="1" applyFont="1">
      <alignment horizontal="center" readingOrder="0"/>
    </xf>
    <xf borderId="1" fillId="4" fontId="3" numFmtId="164" xfId="0" applyAlignment="1" applyBorder="1" applyFont="1" applyNumberFormat="1">
      <alignment horizontal="center" vertical="bottom"/>
    </xf>
    <xf borderId="1" fillId="4" fontId="3" numFmtId="164" xfId="0" applyAlignment="1" applyBorder="1" applyFont="1" applyNumberFormat="1">
      <alignment horizontal="center" readingOrder="0" vertical="bottom"/>
    </xf>
    <xf borderId="1" fillId="4" fontId="3" numFmtId="0" xfId="0" applyAlignment="1" applyBorder="1" applyFont="1">
      <alignment horizontal="center" readingOrder="0" vertical="bottom"/>
    </xf>
    <xf borderId="1" fillId="0" fontId="15" numFmtId="165" xfId="0" applyAlignment="1" applyBorder="1" applyFont="1" applyNumberFormat="1">
      <alignment horizontal="center" readingOrder="0" vertical="bottom"/>
    </xf>
    <xf borderId="1" fillId="0" fontId="15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0" fillId="3" fontId="16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3" fontId="15" numFmtId="165" xfId="0" applyAlignment="1" applyFont="1" applyNumberFormat="1">
      <alignment horizontal="right" readingOrder="0" vertical="bottom"/>
    </xf>
    <xf borderId="0" fillId="3" fontId="1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FloodLAMP EasyPCR(TM) Preliminary LoD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'1A LoD-Preliminary'!$H$17:$H$22</c:f>
            </c:numRef>
          </c:xVal>
          <c:yVal>
            <c:numRef>
              <c:f>'1A LoD-Preliminary'!$I$17:$I$22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625627"/>
        <c:axId val="11841839"/>
      </c:scatterChart>
      <c:valAx>
        <c:axId val="20546256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copies/mL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41839"/>
      </c:valAx>
      <c:valAx>
        <c:axId val="11841839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46256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</xdr:colOff>
      <xdr:row>23</xdr:row>
      <xdr:rowOff>190500</xdr:rowOff>
    </xdr:from>
    <xdr:ext cx="5029200" cy="3114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4" max="4" width="12.5"/>
    <col customWidth="1" min="6" max="6" width="11.13"/>
    <col customWidth="1" min="7" max="7" width="15.5"/>
  </cols>
  <sheetData>
    <row r="1">
      <c r="A1" s="1" t="s">
        <v>0</v>
      </c>
    </row>
    <row r="3">
      <c r="B3" s="2" t="s">
        <v>1</v>
      </c>
      <c r="C3" s="3"/>
      <c r="D3" s="3"/>
      <c r="E3" s="3"/>
    </row>
    <row r="4">
      <c r="B4" s="4"/>
      <c r="C4" s="5">
        <v>1.0</v>
      </c>
      <c r="D4" s="5">
        <v>2.0</v>
      </c>
      <c r="E4" s="5">
        <v>3.0</v>
      </c>
    </row>
    <row r="5">
      <c r="A5" s="3"/>
      <c r="B5" s="6" t="s">
        <v>2</v>
      </c>
      <c r="C5" s="7">
        <v>100000.0</v>
      </c>
      <c r="D5" s="7">
        <v>100000.0</v>
      </c>
      <c r="E5" s="7">
        <v>100000.0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3"/>
      <c r="B6" s="6" t="s">
        <v>3</v>
      </c>
      <c r="C6" s="7">
        <v>50000.0</v>
      </c>
      <c r="D6" s="7">
        <v>50000.0</v>
      </c>
      <c r="E6" s="7">
        <v>50000.0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3"/>
      <c r="B7" s="6" t="s">
        <v>4</v>
      </c>
      <c r="C7" s="7">
        <v>25000.0</v>
      </c>
      <c r="D7" s="7">
        <v>25000.0</v>
      </c>
      <c r="E7" s="7">
        <v>25000.0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3"/>
      <c r="B8" s="6" t="s">
        <v>5</v>
      </c>
      <c r="C8" s="7">
        <v>12500.0</v>
      </c>
      <c r="D8" s="7">
        <v>12500.0</v>
      </c>
      <c r="E8" s="7">
        <v>12500.0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3"/>
      <c r="B9" s="6" t="s">
        <v>6</v>
      </c>
      <c r="C9" s="7">
        <v>6250.0</v>
      </c>
      <c r="D9" s="7">
        <v>6250.0</v>
      </c>
      <c r="E9" s="7">
        <v>6250.0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3"/>
      <c r="B10" s="6" t="s">
        <v>7</v>
      </c>
      <c r="C10" s="7">
        <v>3125.0</v>
      </c>
      <c r="D10" s="7">
        <v>3125.0</v>
      </c>
      <c r="E10" s="7">
        <v>3125.0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3"/>
      <c r="B11" s="6" t="s">
        <v>8</v>
      </c>
      <c r="C11" s="7">
        <v>0.0</v>
      </c>
      <c r="D11" s="7">
        <v>0.0</v>
      </c>
      <c r="E11" s="7">
        <v>0.0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3"/>
      <c r="B12" s="6" t="s">
        <v>9</v>
      </c>
      <c r="C12" s="8" t="s">
        <v>10</v>
      </c>
      <c r="D12" s="8" t="s">
        <v>10</v>
      </c>
      <c r="E12" s="8" t="s">
        <v>11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3"/>
      <c r="B13" s="9"/>
      <c r="C13" s="10"/>
      <c r="D13" s="11"/>
      <c r="E13" s="1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3"/>
      <c r="B14" s="2"/>
      <c r="F14" s="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3"/>
      <c r="B15" s="2" t="s">
        <v>12</v>
      </c>
      <c r="F15" s="12"/>
      <c r="G15" s="13"/>
      <c r="H15" s="14" t="s">
        <v>13</v>
      </c>
      <c r="I15" s="1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30.75" customHeight="1">
      <c r="A16" s="3"/>
      <c r="B16" s="16" t="s">
        <v>14</v>
      </c>
      <c r="C16" s="17" t="s">
        <v>15</v>
      </c>
      <c r="D16" s="18" t="s">
        <v>16</v>
      </c>
      <c r="E16" s="19" t="s">
        <v>17</v>
      </c>
      <c r="F16" s="20" t="s">
        <v>18</v>
      </c>
      <c r="G16" s="21"/>
      <c r="H16" s="22" t="s">
        <v>14</v>
      </c>
      <c r="I16" s="18" t="s">
        <v>19</v>
      </c>
      <c r="J16" s="19" t="s">
        <v>20</v>
      </c>
      <c r="K16" s="18" t="s">
        <v>21</v>
      </c>
      <c r="L16" s="19" t="s">
        <v>22</v>
      </c>
      <c r="M16" s="16" t="s">
        <v>23</v>
      </c>
      <c r="N16" s="3"/>
      <c r="O16" s="3"/>
      <c r="P16" s="3"/>
      <c r="Q16" s="3"/>
      <c r="R16" s="3"/>
      <c r="S16" s="3"/>
      <c r="T16" s="3"/>
      <c r="U16" s="3"/>
      <c r="V16" s="3"/>
    </row>
    <row r="17">
      <c r="A17" s="3"/>
      <c r="B17" s="7">
        <v>100000.0</v>
      </c>
      <c r="C17" s="23">
        <v>1.0</v>
      </c>
      <c r="D17" s="24">
        <v>31.8</v>
      </c>
      <c r="E17" s="24">
        <v>27.5</v>
      </c>
      <c r="F17" s="25" t="s">
        <v>24</v>
      </c>
      <c r="G17" s="26"/>
      <c r="H17" s="27">
        <v>100000.0</v>
      </c>
      <c r="I17" s="28">
        <f>AVERAGE(D17:D19)</f>
        <v>31.66666667</v>
      </c>
      <c r="J17" s="28">
        <f>STDEV(D17:D19)</f>
        <v>0.1154700538</v>
      </c>
      <c r="K17" s="28">
        <f>AVERAGE(E17:E19)</f>
        <v>27.4</v>
      </c>
      <c r="L17" s="28">
        <f>STDEV(E17:E19)</f>
        <v>0.1732050808</v>
      </c>
      <c r="M17" s="29" t="s">
        <v>25</v>
      </c>
      <c r="N17" s="3"/>
      <c r="O17" s="3"/>
      <c r="P17" s="3"/>
      <c r="Q17" s="3"/>
      <c r="R17" s="3"/>
      <c r="S17" s="3"/>
      <c r="T17" s="3"/>
      <c r="U17" s="3"/>
      <c r="V17" s="3"/>
    </row>
    <row r="18">
      <c r="A18" s="3"/>
      <c r="B18" s="30"/>
      <c r="C18" s="31">
        <v>2.0</v>
      </c>
      <c r="D18" s="24">
        <v>31.6</v>
      </c>
      <c r="E18" s="24">
        <v>27.2</v>
      </c>
      <c r="F18" s="25" t="s">
        <v>24</v>
      </c>
      <c r="G18" s="26"/>
      <c r="H18" s="27">
        <v>50000.0</v>
      </c>
      <c r="I18" s="28">
        <f>AVERAGE(D20:D22)</f>
        <v>32.83333333</v>
      </c>
      <c r="J18" s="28">
        <f>STDEV(D20:D22)</f>
        <v>0.2516611478</v>
      </c>
      <c r="K18" s="28">
        <f>AVERAGE(E20:E22)</f>
        <v>27.83333333</v>
      </c>
      <c r="L18" s="28">
        <f>STDEV(E20:E22)</f>
        <v>0.2081665999</v>
      </c>
      <c r="M18" s="29" t="s">
        <v>25</v>
      </c>
      <c r="N18" s="3"/>
      <c r="O18" s="3"/>
      <c r="P18" s="3"/>
      <c r="Q18" s="3"/>
      <c r="R18" s="3"/>
      <c r="S18" s="3"/>
      <c r="T18" s="3"/>
      <c r="U18" s="3"/>
      <c r="V18" s="3"/>
    </row>
    <row r="19">
      <c r="B19" s="30"/>
      <c r="C19" s="31">
        <v>3.0</v>
      </c>
      <c r="D19" s="24">
        <v>31.6</v>
      </c>
      <c r="E19" s="24">
        <v>27.5</v>
      </c>
      <c r="F19" s="25" t="s">
        <v>24</v>
      </c>
      <c r="G19" s="26"/>
      <c r="H19" s="27">
        <v>25000.0</v>
      </c>
      <c r="I19" s="28">
        <f>AVERAGE(D23:D25)</f>
        <v>33.96666667</v>
      </c>
      <c r="J19" s="28">
        <f>STDEV(D23:D25)</f>
        <v>0.1154700538</v>
      </c>
      <c r="K19" s="28">
        <f>AVERAGE(E23:E25)</f>
        <v>27.73333333</v>
      </c>
      <c r="L19" s="28">
        <f>STDEV(E23:E25)</f>
        <v>0.2516611478</v>
      </c>
      <c r="M19" s="29" t="s">
        <v>25</v>
      </c>
    </row>
    <row r="20">
      <c r="B20" s="7">
        <v>50000.0</v>
      </c>
      <c r="C20" s="31">
        <v>1.0</v>
      </c>
      <c r="D20" s="24">
        <v>32.6</v>
      </c>
      <c r="E20" s="28">
        <v>28.0</v>
      </c>
      <c r="F20" s="25" t="s">
        <v>24</v>
      </c>
      <c r="G20" s="26"/>
      <c r="H20" s="27">
        <v>12500.0</v>
      </c>
      <c r="I20" s="28">
        <f>AVERAGE(D26:D28)</f>
        <v>34.7</v>
      </c>
      <c r="J20" s="28">
        <f>STDEV(D26:D28)</f>
        <v>0.2</v>
      </c>
      <c r="K20" s="28">
        <f>AVERAGE(E26:E28)</f>
        <v>27.8</v>
      </c>
      <c r="L20" s="28">
        <f>STDEV(E26:E28)</f>
        <v>0.3</v>
      </c>
      <c r="M20" s="29" t="s">
        <v>25</v>
      </c>
    </row>
    <row r="21">
      <c r="B21" s="30"/>
      <c r="C21" s="31">
        <v>2.0</v>
      </c>
      <c r="D21" s="24">
        <v>33.1</v>
      </c>
      <c r="E21" s="24">
        <v>27.9</v>
      </c>
      <c r="F21" s="25" t="s">
        <v>24</v>
      </c>
      <c r="G21" s="26"/>
      <c r="H21" s="27">
        <v>6250.0</v>
      </c>
      <c r="I21" s="28">
        <f>AVERAGE(D29:D31)</f>
        <v>36</v>
      </c>
      <c r="J21" s="28">
        <f>STDEV(D29:D31)</f>
        <v>0.3605551275</v>
      </c>
      <c r="K21" s="28">
        <f>AVERAGE(E29:E31)</f>
        <v>28</v>
      </c>
      <c r="L21" s="28">
        <f>STDEV(E29:E31)</f>
        <v>0.1</v>
      </c>
      <c r="M21" s="29" t="s">
        <v>25</v>
      </c>
    </row>
    <row r="22">
      <c r="B22" s="30"/>
      <c r="C22" s="31">
        <v>3.0</v>
      </c>
      <c r="D22" s="24">
        <v>32.8</v>
      </c>
      <c r="E22" s="24">
        <v>27.6</v>
      </c>
      <c r="F22" s="25" t="s">
        <v>24</v>
      </c>
      <c r="G22" s="26"/>
      <c r="H22" s="32">
        <v>3125.0</v>
      </c>
      <c r="I22" s="33">
        <f>AVERAGEA(D32:D34)</f>
        <v>37.33333333</v>
      </c>
      <c r="J22" s="33">
        <f>STDEV(D32:D34)</f>
        <v>0.5033222957</v>
      </c>
      <c r="K22" s="33">
        <f>AVERAGE(E32:E34)</f>
        <v>27.93333333</v>
      </c>
      <c r="L22" s="33">
        <f>STDEV(E32:E34)</f>
        <v>0.05773502692</v>
      </c>
      <c r="M22" s="34" t="s">
        <v>25</v>
      </c>
    </row>
    <row r="23">
      <c r="B23" s="7">
        <v>25000.0</v>
      </c>
      <c r="C23" s="31">
        <v>1.0</v>
      </c>
      <c r="D23" s="24">
        <v>33.9</v>
      </c>
      <c r="E23" s="28">
        <v>28.0</v>
      </c>
      <c r="F23" s="25" t="s">
        <v>24</v>
      </c>
      <c r="G23" s="13"/>
      <c r="H23" s="35">
        <v>0.0</v>
      </c>
      <c r="I23" s="28" t="s">
        <v>26</v>
      </c>
      <c r="J23" s="28" t="s">
        <v>27</v>
      </c>
      <c r="K23" s="28">
        <f>AVERAGE(E35:E37)</f>
        <v>27.8</v>
      </c>
      <c r="L23" s="28">
        <f>STDEV(E35:E37)</f>
        <v>0.1732050808</v>
      </c>
      <c r="M23" s="35" t="s">
        <v>28</v>
      </c>
    </row>
    <row r="24">
      <c r="B24" s="30"/>
      <c r="C24" s="23">
        <v>2.0</v>
      </c>
      <c r="D24" s="24">
        <v>34.1</v>
      </c>
      <c r="E24" s="24">
        <v>27.5</v>
      </c>
      <c r="F24" s="36" t="s">
        <v>24</v>
      </c>
      <c r="G24" s="13"/>
      <c r="H24" s="13"/>
      <c r="I24" s="13"/>
    </row>
    <row r="25">
      <c r="B25" s="30"/>
      <c r="C25" s="23">
        <v>3.0</v>
      </c>
      <c r="D25" s="24">
        <v>33.9</v>
      </c>
      <c r="E25" s="24">
        <v>27.7</v>
      </c>
      <c r="F25" s="36" t="s">
        <v>24</v>
      </c>
      <c r="G25" s="13"/>
      <c r="H25" s="13"/>
      <c r="I25" s="13"/>
      <c r="O25" s="37"/>
      <c r="P25" s="37"/>
      <c r="Q25" s="38"/>
    </row>
    <row r="26">
      <c r="B26" s="7">
        <v>12500.0</v>
      </c>
      <c r="C26" s="23">
        <v>1.0</v>
      </c>
      <c r="D26" s="24">
        <v>34.7</v>
      </c>
      <c r="E26" s="24">
        <v>28.1</v>
      </c>
      <c r="F26" s="36" t="s">
        <v>24</v>
      </c>
      <c r="G26" s="13"/>
      <c r="H26" s="13"/>
      <c r="I26" s="13"/>
      <c r="O26" s="39"/>
      <c r="P26" s="37"/>
      <c r="Q26" s="38"/>
    </row>
    <row r="27">
      <c r="B27" s="30"/>
      <c r="C27" s="23">
        <v>2.0</v>
      </c>
      <c r="D27" s="24">
        <v>34.5</v>
      </c>
      <c r="E27" s="24">
        <v>27.5</v>
      </c>
      <c r="F27" s="36" t="s">
        <v>24</v>
      </c>
      <c r="G27" s="13"/>
      <c r="H27" s="13"/>
      <c r="I27" s="13"/>
      <c r="O27" s="39"/>
      <c r="P27" s="37"/>
      <c r="Q27" s="38"/>
    </row>
    <row r="28">
      <c r="B28" s="30"/>
      <c r="C28" s="23">
        <v>3.0</v>
      </c>
      <c r="D28" s="24">
        <v>34.9</v>
      </c>
      <c r="E28" s="24">
        <v>27.8</v>
      </c>
      <c r="F28" s="36" t="s">
        <v>24</v>
      </c>
      <c r="G28" s="13"/>
      <c r="H28" s="13"/>
      <c r="I28" s="13"/>
      <c r="O28" s="37"/>
      <c r="P28" s="37"/>
      <c r="Q28" s="38"/>
    </row>
    <row r="29">
      <c r="B29" s="7">
        <v>6250.0</v>
      </c>
      <c r="C29" s="23">
        <v>1.0</v>
      </c>
      <c r="D29" s="24">
        <v>35.6</v>
      </c>
      <c r="E29" s="24">
        <v>27.9</v>
      </c>
      <c r="F29" s="36" t="s">
        <v>24</v>
      </c>
      <c r="G29" s="13"/>
      <c r="H29" s="13"/>
      <c r="I29" s="13"/>
      <c r="O29" s="37"/>
      <c r="P29" s="37"/>
      <c r="Q29" s="38"/>
    </row>
    <row r="30">
      <c r="B30" s="30"/>
      <c r="C30" s="23">
        <v>2.0</v>
      </c>
      <c r="D30" s="24">
        <v>36.1</v>
      </c>
      <c r="E30" s="28">
        <v>28.0</v>
      </c>
      <c r="F30" s="36" t="s">
        <v>24</v>
      </c>
      <c r="G30" s="13"/>
      <c r="H30" s="13"/>
      <c r="I30" s="13"/>
      <c r="O30" s="37"/>
      <c r="P30" s="37"/>
      <c r="Q30" s="38"/>
    </row>
    <row r="31">
      <c r="B31" s="30"/>
      <c r="C31" s="23">
        <v>3.0</v>
      </c>
      <c r="D31" s="24">
        <v>36.3</v>
      </c>
      <c r="E31" s="24">
        <v>28.1</v>
      </c>
      <c r="F31" s="36" t="s">
        <v>24</v>
      </c>
      <c r="G31" s="13"/>
      <c r="H31" s="13"/>
      <c r="I31" s="13"/>
      <c r="O31" s="37"/>
      <c r="P31" s="37"/>
      <c r="Q31" s="38"/>
    </row>
    <row r="32">
      <c r="B32" s="7">
        <v>3125.0</v>
      </c>
      <c r="C32" s="23">
        <v>1.0</v>
      </c>
      <c r="D32" s="24">
        <v>37.4</v>
      </c>
      <c r="E32" s="28">
        <v>28.0</v>
      </c>
      <c r="F32" s="36" t="s">
        <v>24</v>
      </c>
      <c r="G32" s="13"/>
      <c r="H32" s="13"/>
      <c r="I32" s="13"/>
      <c r="O32" s="39"/>
      <c r="P32" s="37"/>
      <c r="Q32" s="38"/>
    </row>
    <row r="33">
      <c r="B33" s="30"/>
      <c r="C33" s="23">
        <v>2.0</v>
      </c>
      <c r="D33" s="24">
        <v>37.8</v>
      </c>
      <c r="E33" s="24">
        <v>27.9</v>
      </c>
      <c r="F33" s="36" t="s">
        <v>24</v>
      </c>
      <c r="G33" s="13"/>
      <c r="H33" s="13"/>
      <c r="I33" s="13"/>
      <c r="O33" s="39"/>
      <c r="P33" s="37"/>
      <c r="Q33" s="38"/>
    </row>
    <row r="34">
      <c r="B34" s="30"/>
      <c r="C34" s="23">
        <v>3.0</v>
      </c>
      <c r="D34" s="24">
        <v>36.8</v>
      </c>
      <c r="E34" s="24">
        <v>27.9</v>
      </c>
      <c r="F34" s="36" t="s">
        <v>24</v>
      </c>
      <c r="G34" s="13"/>
      <c r="H34" s="13"/>
      <c r="I34" s="13"/>
      <c r="O34" s="37"/>
      <c r="P34" s="37"/>
      <c r="Q34" s="38"/>
    </row>
    <row r="35">
      <c r="B35" s="24">
        <v>0.0</v>
      </c>
      <c r="C35" s="23">
        <v>1.0</v>
      </c>
      <c r="D35" s="24" t="s">
        <v>29</v>
      </c>
      <c r="E35" s="24">
        <v>27.9</v>
      </c>
      <c r="F35" s="36" t="s">
        <v>30</v>
      </c>
      <c r="G35" s="13"/>
      <c r="H35" s="13"/>
      <c r="I35" s="13"/>
      <c r="O35" s="37"/>
      <c r="P35" s="37"/>
      <c r="Q35" s="38"/>
    </row>
    <row r="36">
      <c r="B36" s="30"/>
      <c r="C36" s="23">
        <v>2.0</v>
      </c>
      <c r="D36" s="24" t="s">
        <v>29</v>
      </c>
      <c r="E36" s="24">
        <v>27.9</v>
      </c>
      <c r="F36" s="36" t="s">
        <v>30</v>
      </c>
      <c r="G36" s="13"/>
      <c r="H36" s="13"/>
      <c r="I36" s="13"/>
      <c r="O36" s="37"/>
      <c r="P36" s="37"/>
      <c r="Q36" s="38"/>
    </row>
    <row r="37">
      <c r="B37" s="30"/>
      <c r="C37" s="23">
        <v>3.0</v>
      </c>
      <c r="D37" s="24" t="s">
        <v>29</v>
      </c>
      <c r="E37" s="24">
        <v>27.6</v>
      </c>
      <c r="F37" s="36" t="s">
        <v>30</v>
      </c>
      <c r="G37" s="13"/>
      <c r="H37" s="13"/>
      <c r="I37" s="13"/>
      <c r="O37" s="37"/>
      <c r="P37" s="37"/>
      <c r="Q37" s="38"/>
    </row>
    <row r="38">
      <c r="B38" s="40" t="s">
        <v>31</v>
      </c>
      <c r="C38" s="23">
        <v>1.0</v>
      </c>
      <c r="D38" s="24" t="s">
        <v>29</v>
      </c>
      <c r="E38" s="24" t="s">
        <v>29</v>
      </c>
      <c r="F38" s="36" t="s">
        <v>30</v>
      </c>
      <c r="G38" s="13"/>
      <c r="H38" s="13"/>
      <c r="I38" s="13"/>
      <c r="O38" s="37"/>
      <c r="P38" s="37"/>
      <c r="Q38" s="38"/>
    </row>
    <row r="39">
      <c r="B39" s="41"/>
      <c r="C39" s="23">
        <v>2.0</v>
      </c>
      <c r="D39" s="24" t="s">
        <v>29</v>
      </c>
      <c r="E39" s="24" t="s">
        <v>29</v>
      </c>
      <c r="F39" s="36" t="s">
        <v>30</v>
      </c>
      <c r="G39" s="13"/>
      <c r="H39" s="13"/>
      <c r="I39" s="13"/>
      <c r="O39" s="37"/>
      <c r="P39" s="37"/>
      <c r="Q39" s="38"/>
    </row>
    <row r="40">
      <c r="B40" s="40" t="s">
        <v>32</v>
      </c>
      <c r="C40" s="23">
        <v>1.0</v>
      </c>
      <c r="D40" s="24">
        <v>31.1</v>
      </c>
      <c r="E40" s="24">
        <v>31.0</v>
      </c>
      <c r="F40" s="36" t="s">
        <v>24</v>
      </c>
      <c r="G40" s="13"/>
      <c r="H40" s="13"/>
      <c r="I40" s="13"/>
      <c r="O40" s="37"/>
      <c r="P40" s="37"/>
      <c r="Q40" s="38"/>
    </row>
    <row r="41">
      <c r="B41" s="3"/>
      <c r="C41" s="3"/>
      <c r="D41" s="3"/>
      <c r="E41" s="3"/>
      <c r="F41" s="3"/>
      <c r="G41" s="3"/>
      <c r="O41" s="37"/>
      <c r="P41" s="37"/>
      <c r="Q41" s="38"/>
    </row>
    <row r="42">
      <c r="B42" s="3"/>
      <c r="C42" s="3"/>
      <c r="D42" s="3"/>
      <c r="E42" s="3"/>
      <c r="F42" s="3"/>
      <c r="G42" s="3"/>
      <c r="O42" s="37"/>
      <c r="P42" s="37"/>
      <c r="Q42" s="38"/>
    </row>
    <row r="43">
      <c r="O43" s="37"/>
      <c r="P43" s="37"/>
      <c r="Q43" s="38"/>
    </row>
    <row r="44">
      <c r="O44" s="37"/>
      <c r="P44" s="37"/>
      <c r="Q44" s="38"/>
    </row>
    <row r="45">
      <c r="O45" s="37"/>
      <c r="P45" s="37"/>
      <c r="Q45" s="38"/>
    </row>
    <row r="46">
      <c r="O46" s="37"/>
      <c r="P46" s="37"/>
      <c r="Q46" s="38"/>
    </row>
    <row r="47">
      <c r="O47" s="37"/>
      <c r="P47" s="37"/>
      <c r="Q47" s="38"/>
    </row>
    <row r="48">
      <c r="O48" s="37"/>
      <c r="P48" s="37"/>
      <c r="Q48" s="3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11" width="13.13"/>
    <col customWidth="1" min="14" max="14" width="15.5"/>
    <col customWidth="1" min="22" max="22" width="17.5"/>
  </cols>
  <sheetData>
    <row r="1">
      <c r="A1" s="1" t="s">
        <v>33</v>
      </c>
    </row>
    <row r="2">
      <c r="J2" s="2"/>
    </row>
    <row r="3">
      <c r="B3" s="2" t="s">
        <v>1</v>
      </c>
      <c r="C3" s="3"/>
      <c r="D3" s="3"/>
      <c r="E3" s="3"/>
      <c r="F3" s="3"/>
      <c r="G3" s="3"/>
      <c r="H3" s="3"/>
      <c r="I3" s="3"/>
      <c r="J3" s="2"/>
      <c r="K3" s="3"/>
      <c r="L3" s="3"/>
      <c r="M3" s="3"/>
      <c r="N3" s="3"/>
    </row>
    <row r="4">
      <c r="B4" s="4"/>
      <c r="C4" s="5">
        <v>1.0</v>
      </c>
      <c r="D4" s="5">
        <v>2.0</v>
      </c>
      <c r="E4" s="5">
        <v>3.0</v>
      </c>
      <c r="F4" s="5">
        <v>4.0</v>
      </c>
      <c r="G4" s="5">
        <v>5.0</v>
      </c>
      <c r="H4" s="5">
        <v>6.0</v>
      </c>
      <c r="I4" s="5">
        <v>7.0</v>
      </c>
      <c r="J4" s="5">
        <v>8.0</v>
      </c>
      <c r="K4" s="5">
        <v>9.0</v>
      </c>
      <c r="L4" s="42"/>
      <c r="M4" s="42"/>
      <c r="N4" s="42"/>
    </row>
    <row r="5">
      <c r="B5" s="6" t="s">
        <v>2</v>
      </c>
      <c r="C5" s="7">
        <v>1560.0</v>
      </c>
      <c r="D5" s="7">
        <v>1560.0</v>
      </c>
      <c r="E5" s="7">
        <v>1560.0</v>
      </c>
      <c r="F5" s="7">
        <v>3125.0</v>
      </c>
      <c r="G5" s="7">
        <v>3125.0</v>
      </c>
      <c r="H5" s="7">
        <v>3125.0</v>
      </c>
      <c r="I5" s="7">
        <v>6250.0</v>
      </c>
      <c r="J5" s="7">
        <v>6250.0</v>
      </c>
      <c r="K5" s="7">
        <v>6250.0</v>
      </c>
      <c r="L5" s="43"/>
      <c r="M5" s="43"/>
      <c r="N5" s="43"/>
    </row>
    <row r="6">
      <c r="B6" s="6" t="s">
        <v>3</v>
      </c>
      <c r="C6" s="7">
        <v>1560.0</v>
      </c>
      <c r="D6" s="7">
        <v>1560.0</v>
      </c>
      <c r="E6" s="7">
        <v>1560.0</v>
      </c>
      <c r="F6" s="7">
        <v>3125.0</v>
      </c>
      <c r="G6" s="7">
        <v>3125.0</v>
      </c>
      <c r="H6" s="7">
        <v>3125.0</v>
      </c>
      <c r="I6" s="7">
        <v>6250.0</v>
      </c>
      <c r="J6" s="7">
        <v>6250.0</v>
      </c>
      <c r="K6" s="7">
        <v>6250.0</v>
      </c>
      <c r="L6" s="43"/>
      <c r="M6" s="43"/>
      <c r="N6" s="43"/>
    </row>
    <row r="7">
      <c r="B7" s="6" t="s">
        <v>4</v>
      </c>
      <c r="C7" s="7">
        <v>1560.0</v>
      </c>
      <c r="D7" s="7">
        <v>1560.0</v>
      </c>
      <c r="E7" s="7">
        <v>1560.0</v>
      </c>
      <c r="F7" s="7">
        <v>3125.0</v>
      </c>
      <c r="G7" s="7">
        <v>3125.0</v>
      </c>
      <c r="H7" s="7">
        <v>3125.0</v>
      </c>
      <c r="I7" s="7">
        <v>6250.0</v>
      </c>
      <c r="J7" s="7">
        <v>6250.0</v>
      </c>
      <c r="K7" s="7">
        <v>6250.0</v>
      </c>
      <c r="L7" s="43"/>
      <c r="M7" s="43"/>
      <c r="N7" s="43"/>
    </row>
    <row r="8">
      <c r="B8" s="6" t="s">
        <v>5</v>
      </c>
      <c r="C8" s="7">
        <v>1560.0</v>
      </c>
      <c r="D8" s="7">
        <v>1560.0</v>
      </c>
      <c r="E8" s="7">
        <v>1560.0</v>
      </c>
      <c r="F8" s="7">
        <v>3125.0</v>
      </c>
      <c r="G8" s="7">
        <v>3125.0</v>
      </c>
      <c r="H8" s="7">
        <v>3125.0</v>
      </c>
      <c r="I8" s="7">
        <v>6250.0</v>
      </c>
      <c r="J8" s="7">
        <v>6250.0</v>
      </c>
      <c r="K8" s="7">
        <v>6250.0</v>
      </c>
      <c r="L8" s="43"/>
      <c r="M8" s="43"/>
      <c r="N8" s="43"/>
    </row>
    <row r="9">
      <c r="B9" s="6" t="s">
        <v>6</v>
      </c>
      <c r="C9" s="7">
        <v>1560.0</v>
      </c>
      <c r="D9" s="7">
        <v>1560.0</v>
      </c>
      <c r="E9" s="7">
        <v>1560.0</v>
      </c>
      <c r="F9" s="7">
        <v>3125.0</v>
      </c>
      <c r="G9" s="7">
        <v>3125.0</v>
      </c>
      <c r="H9" s="7">
        <v>3125.0</v>
      </c>
      <c r="I9" s="7">
        <v>6250.0</v>
      </c>
      <c r="J9" s="7">
        <v>6250.0</v>
      </c>
      <c r="K9" s="7">
        <v>6250.0</v>
      </c>
      <c r="L9" s="43"/>
      <c r="M9" s="43"/>
      <c r="N9" s="43"/>
    </row>
    <row r="10">
      <c r="B10" s="6" t="s">
        <v>7</v>
      </c>
      <c r="C10" s="7">
        <v>1560.0</v>
      </c>
      <c r="D10" s="7">
        <v>1560.0</v>
      </c>
      <c r="E10" s="7">
        <v>1560.0</v>
      </c>
      <c r="F10" s="7">
        <v>3125.0</v>
      </c>
      <c r="G10" s="7">
        <v>3125.0</v>
      </c>
      <c r="H10" s="7">
        <v>3125.0</v>
      </c>
      <c r="I10" s="7">
        <v>6250.0</v>
      </c>
      <c r="J10" s="7">
        <v>6250.0</v>
      </c>
      <c r="K10" s="7">
        <v>6250.0</v>
      </c>
      <c r="L10" s="43"/>
      <c r="M10" s="43"/>
      <c r="N10" s="43"/>
    </row>
    <row r="11">
      <c r="B11" s="6" t="s">
        <v>8</v>
      </c>
      <c r="C11" s="7">
        <v>1560.0</v>
      </c>
      <c r="D11" s="7">
        <v>1560.0</v>
      </c>
      <c r="E11" s="7">
        <v>1560.0</v>
      </c>
      <c r="F11" s="7">
        <v>3125.0</v>
      </c>
      <c r="G11" s="7">
        <v>3125.0</v>
      </c>
      <c r="H11" s="7">
        <v>3125.0</v>
      </c>
      <c r="I11" s="7">
        <v>6250.0</v>
      </c>
      <c r="J11" s="7">
        <v>6250.0</v>
      </c>
      <c r="K11" s="7">
        <v>6250.0</v>
      </c>
      <c r="L11" s="43"/>
      <c r="M11" s="43"/>
      <c r="N11" s="43"/>
    </row>
    <row r="12">
      <c r="B12" s="6" t="s">
        <v>9</v>
      </c>
      <c r="C12" s="44">
        <v>0.0</v>
      </c>
      <c r="D12" s="44">
        <v>0.0</v>
      </c>
      <c r="E12" s="44">
        <v>0.0</v>
      </c>
      <c r="F12" s="8" t="s">
        <v>10</v>
      </c>
      <c r="G12" s="8" t="s">
        <v>10</v>
      </c>
      <c r="H12" s="8" t="s">
        <v>10</v>
      </c>
      <c r="I12" s="8" t="s">
        <v>10</v>
      </c>
      <c r="J12" s="8" t="s">
        <v>10</v>
      </c>
      <c r="K12" s="45" t="s">
        <v>11</v>
      </c>
      <c r="L12" s="11"/>
      <c r="M12" s="11"/>
      <c r="N12" s="10"/>
    </row>
    <row r="13">
      <c r="B13" s="9"/>
      <c r="C13" s="10"/>
      <c r="D13" s="11"/>
      <c r="E13" s="11"/>
      <c r="F13" s="10"/>
      <c r="G13" s="11"/>
      <c r="H13" s="11"/>
      <c r="I13" s="3"/>
      <c r="J13" s="3"/>
      <c r="K13" s="3"/>
      <c r="L13" s="3"/>
      <c r="M13" s="3"/>
      <c r="N13" s="3"/>
    </row>
    <row r="14">
      <c r="B14" s="14" t="s">
        <v>13</v>
      </c>
      <c r="C14" s="15"/>
      <c r="D14" s="2"/>
      <c r="E14" s="3"/>
      <c r="F14" s="3"/>
      <c r="G14" s="3"/>
      <c r="H14" s="3"/>
      <c r="I14" s="14" t="s">
        <v>34</v>
      </c>
      <c r="J14" s="15"/>
      <c r="K14" s="2"/>
      <c r="L14" s="3"/>
      <c r="M14" s="3"/>
      <c r="N14" s="3"/>
      <c r="P14" s="14" t="s">
        <v>35</v>
      </c>
      <c r="Q14" s="15"/>
      <c r="R14" s="2"/>
      <c r="S14" s="3"/>
      <c r="T14" s="3"/>
      <c r="U14" s="3"/>
    </row>
    <row r="15">
      <c r="B15" s="46" t="s">
        <v>14</v>
      </c>
      <c r="C15" s="18" t="s">
        <v>19</v>
      </c>
      <c r="D15" s="19" t="s">
        <v>20</v>
      </c>
      <c r="E15" s="18" t="s">
        <v>21</v>
      </c>
      <c r="F15" s="19" t="s">
        <v>22</v>
      </c>
      <c r="G15" s="19" t="s">
        <v>36</v>
      </c>
      <c r="H15" s="3"/>
      <c r="I15" s="47" t="s">
        <v>14</v>
      </c>
      <c r="J15" s="48" t="s">
        <v>19</v>
      </c>
      <c r="K15" s="49" t="s">
        <v>20</v>
      </c>
      <c r="L15" s="48" t="s">
        <v>21</v>
      </c>
      <c r="M15" s="49" t="s">
        <v>22</v>
      </c>
      <c r="N15" s="49" t="s">
        <v>37</v>
      </c>
      <c r="P15" s="47" t="s">
        <v>14</v>
      </c>
      <c r="Q15" s="48" t="s">
        <v>19</v>
      </c>
      <c r="R15" s="49" t="s">
        <v>20</v>
      </c>
      <c r="S15" s="48" t="s">
        <v>21</v>
      </c>
      <c r="T15" s="49" t="s">
        <v>22</v>
      </c>
      <c r="U15" s="49" t="s">
        <v>37</v>
      </c>
    </row>
    <row r="16">
      <c r="B16" s="50">
        <v>6250.0</v>
      </c>
      <c r="C16" s="51">
        <f>AVERAGE(D23:D43)</f>
        <v>35.37435057</v>
      </c>
      <c r="D16" s="51">
        <f>STDEV(D23:D43)</f>
        <v>0.5901248147</v>
      </c>
      <c r="E16" s="51">
        <f>AVERAGE(E23:E43)</f>
        <v>28.80923062</v>
      </c>
      <c r="F16" s="51">
        <f>STDEV(E23:E43)</f>
        <v>0.09986991984</v>
      </c>
      <c r="G16" s="35" t="s">
        <v>38</v>
      </c>
      <c r="H16" s="3"/>
      <c r="I16" s="50">
        <v>6250.0</v>
      </c>
      <c r="J16" s="51">
        <v>36.05714285714286</v>
      </c>
      <c r="K16" s="51">
        <v>0.6569409627747618</v>
      </c>
      <c r="L16" s="51">
        <v>27.328571428571422</v>
      </c>
      <c r="M16" s="51">
        <v>0.23482516292522143</v>
      </c>
      <c r="N16" s="40" t="s">
        <v>38</v>
      </c>
      <c r="P16" s="50">
        <v>6250.0</v>
      </c>
      <c r="Q16" s="51">
        <v>35.64761904761905</v>
      </c>
      <c r="R16" s="51">
        <v>0.8530058895570711</v>
      </c>
      <c r="S16" s="51">
        <v>26.952380952380953</v>
      </c>
      <c r="T16" s="51">
        <v>0.12891488517253316</v>
      </c>
      <c r="U16" s="40" t="s">
        <v>38</v>
      </c>
    </row>
    <row r="17">
      <c r="B17" s="50">
        <v>3125.0</v>
      </c>
      <c r="C17" s="28">
        <v>36.5</v>
      </c>
      <c r="D17" s="28">
        <v>0.6</v>
      </c>
      <c r="E17" s="51">
        <f>AVERAGE(E44:E64)</f>
        <v>28.84285714</v>
      </c>
      <c r="F17" s="51">
        <f>STDEV(E44:E64)</f>
        <v>0.3187027276</v>
      </c>
      <c r="G17" s="35" t="s">
        <v>39</v>
      </c>
      <c r="H17" s="3"/>
      <c r="I17" s="50">
        <v>3125.0</v>
      </c>
      <c r="J17" s="51">
        <v>37.18</v>
      </c>
      <c r="K17" s="51">
        <v>0.8859131476974249</v>
      </c>
      <c r="L17" s="51">
        <v>27.25714285714286</v>
      </c>
      <c r="M17" s="51">
        <v>0.10757057484009501</v>
      </c>
      <c r="N17" s="40" t="s">
        <v>39</v>
      </c>
      <c r="P17" s="50">
        <v>3125.0</v>
      </c>
      <c r="Q17" s="51">
        <v>36.90000000000001</v>
      </c>
      <c r="R17" s="51">
        <v>1.0986355173577815</v>
      </c>
      <c r="S17" s="51">
        <v>27.009523809523813</v>
      </c>
      <c r="T17" s="51">
        <v>0.13001831372834255</v>
      </c>
      <c r="U17" s="40" t="s">
        <v>38</v>
      </c>
    </row>
    <row r="18">
      <c r="B18" s="7">
        <v>1560.0</v>
      </c>
      <c r="C18" s="51">
        <f>37</f>
        <v>37</v>
      </c>
      <c r="D18" s="28">
        <v>0.8</v>
      </c>
      <c r="E18" s="28">
        <v>28.8</v>
      </c>
      <c r="F18" s="28">
        <v>0.2</v>
      </c>
      <c r="G18" s="35" t="s">
        <v>40</v>
      </c>
      <c r="H18" s="3"/>
      <c r="I18" s="7">
        <v>1560.0</v>
      </c>
      <c r="J18" s="51">
        <v>38.236842105263165</v>
      </c>
      <c r="K18" s="51">
        <v>0.7660943706850497</v>
      </c>
      <c r="L18" s="51">
        <v>27.285714285714285</v>
      </c>
      <c r="M18" s="51">
        <v>0.15259657363687537</v>
      </c>
      <c r="N18" s="40" t="s">
        <v>41</v>
      </c>
      <c r="P18" s="7">
        <v>1560.0</v>
      </c>
      <c r="Q18" s="51">
        <v>37.60555555555556</v>
      </c>
      <c r="R18" s="51">
        <v>0.735224833337094</v>
      </c>
      <c r="S18" s="51">
        <v>26.990476190476187</v>
      </c>
      <c r="T18" s="51">
        <v>0.08309489698388221</v>
      </c>
      <c r="U18" s="40" t="s">
        <v>42</v>
      </c>
    </row>
    <row r="19">
      <c r="B19" s="3"/>
      <c r="C19" s="3"/>
      <c r="D19" s="3"/>
      <c r="E19" s="3"/>
      <c r="F19" s="3"/>
      <c r="G19" s="3"/>
      <c r="H19" s="3"/>
      <c r="J19" s="39"/>
      <c r="K19" s="37"/>
      <c r="L19" s="52"/>
    </row>
    <row r="20">
      <c r="B20" s="3"/>
      <c r="C20" s="3"/>
      <c r="D20" s="3"/>
      <c r="E20" s="3"/>
      <c r="F20" s="3"/>
      <c r="G20" s="3"/>
      <c r="H20" s="3"/>
      <c r="J20" s="39"/>
      <c r="K20" s="37"/>
      <c r="L20" s="52"/>
    </row>
    <row r="21">
      <c r="A21" s="3"/>
      <c r="B21" s="2" t="s">
        <v>12</v>
      </c>
      <c r="C21" s="3"/>
      <c r="D21" s="3"/>
      <c r="E21" s="3"/>
      <c r="F21" s="53"/>
      <c r="G21" s="13"/>
      <c r="I21" s="2" t="s">
        <v>43</v>
      </c>
      <c r="J21" s="3"/>
      <c r="K21" s="3"/>
      <c r="L21" s="3"/>
      <c r="M21" s="53"/>
      <c r="N21" s="13"/>
      <c r="O21" s="3"/>
      <c r="P21" s="2" t="s">
        <v>44</v>
      </c>
      <c r="Q21" s="3"/>
      <c r="R21" s="3"/>
      <c r="S21" s="3"/>
      <c r="T21" s="53"/>
      <c r="U21" s="53"/>
    </row>
    <row r="22" ht="32.25" customHeight="1">
      <c r="A22" s="3"/>
      <c r="B22" s="54" t="s">
        <v>14</v>
      </c>
      <c r="C22" s="55" t="s">
        <v>15</v>
      </c>
      <c r="D22" s="56" t="s">
        <v>16</v>
      </c>
      <c r="E22" s="57" t="s">
        <v>17</v>
      </c>
      <c r="F22" s="58" t="s">
        <v>18</v>
      </c>
      <c r="G22" s="39"/>
      <c r="I22" s="59" t="s">
        <v>14</v>
      </c>
      <c r="J22" s="60" t="s">
        <v>15</v>
      </c>
      <c r="K22" s="61" t="s">
        <v>16</v>
      </c>
      <c r="L22" s="62" t="s">
        <v>17</v>
      </c>
      <c r="M22" s="58" t="s">
        <v>18</v>
      </c>
      <c r="N22" s="39"/>
      <c r="O22" s="63"/>
      <c r="P22" s="54" t="s">
        <v>14</v>
      </c>
      <c r="Q22" s="55" t="s">
        <v>15</v>
      </c>
      <c r="R22" s="56" t="s">
        <v>16</v>
      </c>
      <c r="S22" s="57" t="s">
        <v>17</v>
      </c>
      <c r="T22" s="58" t="s">
        <v>18</v>
      </c>
      <c r="U22" s="64"/>
    </row>
    <row r="23" ht="17.25" customHeight="1">
      <c r="A23" s="3"/>
      <c r="B23" s="65">
        <v>6250.0</v>
      </c>
      <c r="C23" s="66">
        <v>1.0</v>
      </c>
      <c r="D23" s="67">
        <v>35.5</v>
      </c>
      <c r="E23" s="67">
        <v>29.1</v>
      </c>
      <c r="F23" s="68" t="s">
        <v>24</v>
      </c>
      <c r="G23" s="69" t="s">
        <v>19</v>
      </c>
      <c r="I23" s="70">
        <v>6250.0</v>
      </c>
      <c r="J23" s="66">
        <v>1.0</v>
      </c>
      <c r="K23" s="66">
        <v>35.1</v>
      </c>
      <c r="L23" s="66">
        <v>28.2</v>
      </c>
      <c r="M23" s="71" t="s">
        <v>24</v>
      </c>
      <c r="N23" s="69" t="s">
        <v>19</v>
      </c>
      <c r="O23" s="72"/>
      <c r="P23" s="70">
        <v>6250.0</v>
      </c>
      <c r="Q23" s="66">
        <v>1.0</v>
      </c>
      <c r="R23" s="66">
        <v>35.9</v>
      </c>
      <c r="S23" s="73">
        <v>27.0</v>
      </c>
      <c r="T23" s="74" t="s">
        <v>24</v>
      </c>
      <c r="U23" s="69" t="s">
        <v>19</v>
      </c>
    </row>
    <row r="24" ht="17.25" customHeight="1">
      <c r="A24" s="3"/>
      <c r="B24" s="75"/>
      <c r="C24" s="23">
        <v>2.0</v>
      </c>
      <c r="D24" s="28">
        <v>35.3</v>
      </c>
      <c r="E24" s="28">
        <v>28.7</v>
      </c>
      <c r="F24" s="71" t="s">
        <v>24</v>
      </c>
      <c r="G24" s="76">
        <f>AVERAGE(D23:D43)</f>
        <v>35.37435057</v>
      </c>
      <c r="I24" s="75"/>
      <c r="J24" s="23">
        <v>2.0</v>
      </c>
      <c r="K24" s="23">
        <v>35.5</v>
      </c>
      <c r="L24" s="23">
        <v>27.3</v>
      </c>
      <c r="M24" s="71" t="s">
        <v>24</v>
      </c>
      <c r="N24" s="76">
        <f>AVERAGE(K23:K43)</f>
        <v>36.05714286</v>
      </c>
      <c r="O24" s="72"/>
      <c r="P24" s="75"/>
      <c r="Q24" s="23">
        <v>2.0</v>
      </c>
      <c r="R24" s="23">
        <v>35.4</v>
      </c>
      <c r="S24" s="77">
        <v>26.9</v>
      </c>
      <c r="T24" s="78" t="s">
        <v>24</v>
      </c>
      <c r="U24" s="76">
        <f>AVERAGE(R23:R43)</f>
        <v>35.64761905</v>
      </c>
    </row>
    <row r="25" ht="17.25" customHeight="1">
      <c r="A25" s="3"/>
      <c r="B25" s="75"/>
      <c r="C25" s="23">
        <v>3.0</v>
      </c>
      <c r="D25" s="28">
        <v>35.7</v>
      </c>
      <c r="E25" s="28">
        <v>28.7</v>
      </c>
      <c r="F25" s="71" t="s">
        <v>24</v>
      </c>
      <c r="G25" s="79" t="s">
        <v>20</v>
      </c>
      <c r="I25" s="75"/>
      <c r="J25" s="23">
        <v>3.0</v>
      </c>
      <c r="K25" s="23">
        <v>35.7</v>
      </c>
      <c r="L25" s="23">
        <v>27.2</v>
      </c>
      <c r="M25" s="71" t="s">
        <v>24</v>
      </c>
      <c r="N25" s="79" t="s">
        <v>20</v>
      </c>
      <c r="O25" s="72"/>
      <c r="P25" s="75"/>
      <c r="Q25" s="23">
        <v>3.0</v>
      </c>
      <c r="R25" s="23">
        <v>35.8</v>
      </c>
      <c r="S25" s="77">
        <v>27.0</v>
      </c>
      <c r="T25" s="78" t="s">
        <v>24</v>
      </c>
      <c r="U25" s="79" t="s">
        <v>20</v>
      </c>
    </row>
    <row r="26" ht="17.25" customHeight="1">
      <c r="A26" s="3"/>
      <c r="B26" s="75"/>
      <c r="C26" s="23">
        <v>4.0</v>
      </c>
      <c r="D26" s="28">
        <v>35.1</v>
      </c>
      <c r="E26" s="28">
        <v>28.9</v>
      </c>
      <c r="F26" s="80" t="s">
        <v>24</v>
      </c>
      <c r="G26" s="76">
        <f>STDEV(D23:D43)</f>
        <v>0.5901248147</v>
      </c>
      <c r="H26" s="81"/>
      <c r="I26" s="75"/>
      <c r="J26" s="23">
        <v>4.0</v>
      </c>
      <c r="K26" s="23">
        <v>35.9</v>
      </c>
      <c r="L26" s="23">
        <v>27.4</v>
      </c>
      <c r="M26" s="71" t="s">
        <v>24</v>
      </c>
      <c r="N26" s="76">
        <f>STDEV(K23:K43)</f>
        <v>0.6569409628</v>
      </c>
      <c r="O26" s="3"/>
      <c r="P26" s="75"/>
      <c r="Q26" s="23">
        <v>4.0</v>
      </c>
      <c r="R26" s="23">
        <v>35.5</v>
      </c>
      <c r="S26" s="77">
        <v>26.9</v>
      </c>
      <c r="T26" s="78" t="s">
        <v>24</v>
      </c>
      <c r="U26" s="76">
        <f>STDEV(R23:R43)</f>
        <v>0.8530058896</v>
      </c>
      <c r="V26" s="82"/>
      <c r="W26" s="82"/>
      <c r="X26" s="82"/>
      <c r="Y26" s="82"/>
      <c r="Z26" s="82"/>
      <c r="AA26" s="82"/>
    </row>
    <row r="27" ht="17.25" customHeight="1">
      <c r="A27" s="3"/>
      <c r="B27" s="75"/>
      <c r="C27" s="23">
        <v>5.0</v>
      </c>
      <c r="D27" s="28">
        <v>35.7</v>
      </c>
      <c r="E27" s="28">
        <v>28.8</v>
      </c>
      <c r="F27" s="80" t="s">
        <v>24</v>
      </c>
      <c r="G27" s="82"/>
      <c r="H27" s="13"/>
      <c r="I27" s="75"/>
      <c r="J27" s="23">
        <v>5.0</v>
      </c>
      <c r="K27" s="51">
        <v>36.0</v>
      </c>
      <c r="L27" s="23">
        <v>27.2</v>
      </c>
      <c r="M27" s="71" t="s">
        <v>24</v>
      </c>
      <c r="N27" s="82"/>
      <c r="O27" s="3"/>
      <c r="P27" s="75"/>
      <c r="Q27" s="23">
        <v>5.0</v>
      </c>
      <c r="R27" s="23">
        <v>34.9</v>
      </c>
      <c r="S27" s="77">
        <v>26.8</v>
      </c>
      <c r="T27" s="78" t="s">
        <v>24</v>
      </c>
      <c r="U27" s="82"/>
      <c r="V27" s="82"/>
      <c r="W27" s="82"/>
      <c r="X27" s="82"/>
      <c r="Y27" s="82"/>
      <c r="Z27" s="82"/>
      <c r="AA27" s="82"/>
    </row>
    <row r="28" ht="17.25" customHeight="1">
      <c r="A28" s="3"/>
      <c r="B28" s="75"/>
      <c r="C28" s="23">
        <v>6.0</v>
      </c>
      <c r="D28" s="28">
        <v>34.6</v>
      </c>
      <c r="E28" s="28">
        <v>28.8</v>
      </c>
      <c r="F28" s="80" t="s">
        <v>24</v>
      </c>
      <c r="G28" s="69" t="s">
        <v>21</v>
      </c>
      <c r="H28" s="13"/>
      <c r="I28" s="75"/>
      <c r="J28" s="23">
        <v>6.0</v>
      </c>
      <c r="K28" s="51">
        <v>35.6</v>
      </c>
      <c r="L28" s="23">
        <v>27.2</v>
      </c>
      <c r="M28" s="71" t="s">
        <v>24</v>
      </c>
      <c r="N28" s="69" t="s">
        <v>21</v>
      </c>
      <c r="O28" s="38"/>
      <c r="P28" s="75"/>
      <c r="Q28" s="23">
        <v>6.0</v>
      </c>
      <c r="R28" s="23">
        <v>36.2</v>
      </c>
      <c r="S28" s="77">
        <v>26.9</v>
      </c>
      <c r="T28" s="78" t="s">
        <v>24</v>
      </c>
      <c r="U28" s="69" t="s">
        <v>21</v>
      </c>
      <c r="V28" s="82"/>
      <c r="W28" s="82"/>
      <c r="X28" s="82"/>
      <c r="Y28" s="82"/>
      <c r="Z28" s="82"/>
      <c r="AA28" s="82"/>
    </row>
    <row r="29" ht="17.25" customHeight="1">
      <c r="A29" s="3"/>
      <c r="B29" s="75"/>
      <c r="C29" s="23">
        <v>7.0</v>
      </c>
      <c r="D29" s="28">
        <v>34.9</v>
      </c>
      <c r="E29" s="28">
        <v>28.9</v>
      </c>
      <c r="F29" s="80" t="s">
        <v>24</v>
      </c>
      <c r="G29" s="76">
        <f>AVERAGE(E23:E43)</f>
        <v>28.80923062</v>
      </c>
      <c r="H29" s="13"/>
      <c r="I29" s="75"/>
      <c r="J29" s="23">
        <v>7.0</v>
      </c>
      <c r="K29" s="51">
        <v>36.0</v>
      </c>
      <c r="L29" s="23">
        <v>27.1</v>
      </c>
      <c r="M29" s="71" t="s">
        <v>24</v>
      </c>
      <c r="N29" s="76">
        <f>AVERAGE(L23:L43)</f>
        <v>27.32857143</v>
      </c>
      <c r="O29" s="38"/>
      <c r="P29" s="75"/>
      <c r="Q29" s="23">
        <v>7.0</v>
      </c>
      <c r="R29" s="23">
        <v>35.8</v>
      </c>
      <c r="S29" s="77">
        <v>27.0</v>
      </c>
      <c r="T29" s="78" t="s">
        <v>24</v>
      </c>
      <c r="U29" s="76">
        <f>AVERAGE(S23:S43)</f>
        <v>26.95238095</v>
      </c>
      <c r="V29" s="82"/>
      <c r="W29" s="82"/>
      <c r="X29" s="82"/>
      <c r="Y29" s="82"/>
      <c r="Z29" s="82"/>
      <c r="AA29" s="82"/>
    </row>
    <row r="30" ht="17.25" customHeight="1">
      <c r="A30" s="3"/>
      <c r="B30" s="75"/>
      <c r="C30" s="23">
        <v>8.0</v>
      </c>
      <c r="D30" s="28">
        <v>35.6</v>
      </c>
      <c r="E30" s="28">
        <v>28.8</v>
      </c>
      <c r="F30" s="80" t="s">
        <v>24</v>
      </c>
      <c r="G30" s="79" t="s">
        <v>22</v>
      </c>
      <c r="H30" s="13"/>
      <c r="I30" s="75"/>
      <c r="J30" s="23">
        <v>8.0</v>
      </c>
      <c r="K30" s="51">
        <v>35.3</v>
      </c>
      <c r="L30" s="23">
        <v>27.4</v>
      </c>
      <c r="M30" s="71" t="s">
        <v>24</v>
      </c>
      <c r="N30" s="79" t="s">
        <v>22</v>
      </c>
      <c r="O30" s="38"/>
      <c r="P30" s="75"/>
      <c r="Q30" s="23">
        <v>8.0</v>
      </c>
      <c r="R30" s="23">
        <v>35.1</v>
      </c>
      <c r="S30" s="77">
        <v>27.0</v>
      </c>
      <c r="T30" s="78" t="s">
        <v>24</v>
      </c>
      <c r="U30" s="79" t="s">
        <v>22</v>
      </c>
      <c r="V30" s="82"/>
      <c r="W30" s="82"/>
      <c r="X30" s="82"/>
      <c r="Y30" s="82"/>
      <c r="Z30" s="82"/>
      <c r="AA30" s="82"/>
    </row>
    <row r="31" ht="17.25" customHeight="1">
      <c r="A31" s="3"/>
      <c r="B31" s="75"/>
      <c r="C31" s="23">
        <v>9.0</v>
      </c>
      <c r="D31" s="28">
        <v>35.2</v>
      </c>
      <c r="E31" s="28">
        <v>28.9</v>
      </c>
      <c r="F31" s="80" t="s">
        <v>24</v>
      </c>
      <c r="G31" s="76">
        <f>STDEV(E23:E43)</f>
        <v>0.09986991984</v>
      </c>
      <c r="H31" s="13"/>
      <c r="I31" s="75"/>
      <c r="J31" s="23">
        <v>9.0</v>
      </c>
      <c r="K31" s="23">
        <v>36.2</v>
      </c>
      <c r="L31" s="23">
        <v>27.2</v>
      </c>
      <c r="M31" s="71" t="s">
        <v>24</v>
      </c>
      <c r="N31" s="76">
        <f>STDEV(L23:L43)</f>
        <v>0.2348251629</v>
      </c>
      <c r="O31" s="38"/>
      <c r="P31" s="75"/>
      <c r="Q31" s="23">
        <v>9.0</v>
      </c>
      <c r="R31" s="23">
        <v>36.1</v>
      </c>
      <c r="S31" s="77">
        <v>27.0</v>
      </c>
      <c r="T31" s="78" t="s">
        <v>24</v>
      </c>
      <c r="U31" s="76">
        <f>STDEV(S23:S43)</f>
        <v>0.1289148852</v>
      </c>
      <c r="V31" s="82"/>
      <c r="W31" s="82"/>
      <c r="X31" s="82"/>
      <c r="Y31" s="82"/>
      <c r="Z31" s="82"/>
      <c r="AA31" s="82"/>
    </row>
    <row r="32" ht="17.25" customHeight="1">
      <c r="A32" s="3"/>
      <c r="B32" s="75"/>
      <c r="C32" s="23">
        <v>10.0</v>
      </c>
      <c r="D32" s="28">
        <v>35.5</v>
      </c>
      <c r="E32" s="28">
        <v>28.9</v>
      </c>
      <c r="F32" s="80" t="s">
        <v>24</v>
      </c>
      <c r="G32" s="82"/>
      <c r="H32" s="13"/>
      <c r="I32" s="75"/>
      <c r="J32" s="23">
        <v>10.0</v>
      </c>
      <c r="K32" s="23">
        <v>35.6</v>
      </c>
      <c r="L32" s="23">
        <v>27.3</v>
      </c>
      <c r="M32" s="71" t="s">
        <v>24</v>
      </c>
      <c r="N32" s="82"/>
      <c r="O32" s="38"/>
      <c r="P32" s="75"/>
      <c r="Q32" s="23">
        <v>10.0</v>
      </c>
      <c r="R32" s="23">
        <v>34.7</v>
      </c>
      <c r="S32" s="77">
        <v>26.9</v>
      </c>
      <c r="T32" s="78" t="s">
        <v>24</v>
      </c>
      <c r="U32" s="82"/>
      <c r="V32" s="82"/>
      <c r="W32" s="82"/>
      <c r="X32" s="82"/>
      <c r="Y32" s="82"/>
      <c r="Z32" s="82"/>
      <c r="AA32" s="82"/>
    </row>
    <row r="33" ht="17.25" customHeight="1">
      <c r="A33" s="3"/>
      <c r="B33" s="75"/>
      <c r="C33" s="23">
        <v>11.0</v>
      </c>
      <c r="D33" s="28">
        <v>35.8</v>
      </c>
      <c r="E33" s="28">
        <v>28.7</v>
      </c>
      <c r="F33" s="80" t="s">
        <v>24</v>
      </c>
      <c r="G33" s="79" t="s">
        <v>24</v>
      </c>
      <c r="H33" s="13"/>
      <c r="I33" s="75"/>
      <c r="J33" s="23">
        <v>11.0</v>
      </c>
      <c r="K33" s="23">
        <v>36.5</v>
      </c>
      <c r="L33" s="23">
        <v>27.3</v>
      </c>
      <c r="M33" s="71" t="s">
        <v>24</v>
      </c>
      <c r="N33" s="79" t="s">
        <v>24</v>
      </c>
      <c r="O33" s="38"/>
      <c r="P33" s="75"/>
      <c r="Q33" s="23">
        <v>11.0</v>
      </c>
      <c r="R33" s="23">
        <v>35.1</v>
      </c>
      <c r="S33" s="77">
        <v>26.8</v>
      </c>
      <c r="T33" s="78" t="s">
        <v>24</v>
      </c>
      <c r="U33" s="79" t="s">
        <v>24</v>
      </c>
      <c r="V33" s="82"/>
      <c r="W33" s="82"/>
      <c r="X33" s="82"/>
      <c r="Y33" s="82"/>
      <c r="Z33" s="82"/>
      <c r="AA33" s="82"/>
    </row>
    <row r="34" ht="17.25" customHeight="1">
      <c r="A34" s="3"/>
      <c r="B34" s="75"/>
      <c r="C34" s="23">
        <v>12.0</v>
      </c>
      <c r="D34" s="28">
        <v>35.5</v>
      </c>
      <c r="E34" s="28">
        <v>28.8</v>
      </c>
      <c r="F34" s="80" t="s">
        <v>24</v>
      </c>
      <c r="G34" s="82">
        <f>COUNTIF(F23:F43,"POSITIVE")</f>
        <v>21</v>
      </c>
      <c r="H34" s="13"/>
      <c r="I34" s="75"/>
      <c r="J34" s="23">
        <v>12.0</v>
      </c>
      <c r="K34" s="23">
        <v>36.6</v>
      </c>
      <c r="L34" s="23">
        <v>27.3</v>
      </c>
      <c r="M34" s="71" t="s">
        <v>24</v>
      </c>
      <c r="N34" s="82">
        <f>COUNTIF(M23:M43,"POSITIVE")</f>
        <v>21</v>
      </c>
      <c r="O34" s="38"/>
      <c r="P34" s="75"/>
      <c r="Q34" s="23">
        <v>12.0</v>
      </c>
      <c r="R34" s="23">
        <v>34.9</v>
      </c>
      <c r="S34" s="77">
        <v>27.0</v>
      </c>
      <c r="T34" s="78" t="s">
        <v>24</v>
      </c>
      <c r="U34" s="82">
        <f>COUNTIF(T23:T43,"POSITIVE")</f>
        <v>21</v>
      </c>
      <c r="V34" s="82"/>
      <c r="W34" s="82"/>
      <c r="X34" s="82"/>
      <c r="Y34" s="82"/>
      <c r="Z34" s="82"/>
      <c r="AA34" s="82"/>
    </row>
    <row r="35" ht="17.25" customHeight="1">
      <c r="A35" s="3"/>
      <c r="B35" s="75"/>
      <c r="C35" s="23">
        <v>13.0</v>
      </c>
      <c r="D35" s="28">
        <v>35.5</v>
      </c>
      <c r="E35" s="28">
        <v>28.8</v>
      </c>
      <c r="F35" s="80" t="s">
        <v>24</v>
      </c>
      <c r="G35" s="82"/>
      <c r="H35" s="13"/>
      <c r="I35" s="75"/>
      <c r="J35" s="23">
        <v>13.0</v>
      </c>
      <c r="K35" s="23">
        <v>37.1</v>
      </c>
      <c r="L35" s="23">
        <v>27.4</v>
      </c>
      <c r="M35" s="71" t="s">
        <v>24</v>
      </c>
      <c r="N35" s="82"/>
      <c r="O35" s="38"/>
      <c r="P35" s="75"/>
      <c r="Q35" s="23">
        <v>13.0</v>
      </c>
      <c r="R35" s="23">
        <v>35.5</v>
      </c>
      <c r="S35" s="77">
        <v>27.0</v>
      </c>
      <c r="T35" s="78" t="s">
        <v>24</v>
      </c>
      <c r="U35" s="82"/>
      <c r="V35" s="82"/>
      <c r="W35" s="82"/>
      <c r="X35" s="82"/>
      <c r="Y35" s="82"/>
      <c r="Z35" s="82"/>
      <c r="AA35" s="82"/>
    </row>
    <row r="36" ht="17.25" customHeight="1">
      <c r="A36" s="3"/>
      <c r="B36" s="75"/>
      <c r="C36" s="23">
        <v>14.0</v>
      </c>
      <c r="D36" s="28">
        <v>34.0</v>
      </c>
      <c r="E36" s="28">
        <v>28.8</v>
      </c>
      <c r="F36" s="80" t="s">
        <v>24</v>
      </c>
      <c r="G36" s="79" t="s">
        <v>30</v>
      </c>
      <c r="H36" s="13"/>
      <c r="I36" s="75"/>
      <c r="J36" s="23">
        <v>14.0</v>
      </c>
      <c r="K36" s="23">
        <v>37.5</v>
      </c>
      <c r="L36" s="23">
        <v>27.2</v>
      </c>
      <c r="M36" s="71" t="s">
        <v>24</v>
      </c>
      <c r="N36" s="79" t="s">
        <v>30</v>
      </c>
      <c r="O36" s="38"/>
      <c r="P36" s="75"/>
      <c r="Q36" s="23">
        <v>14.0</v>
      </c>
      <c r="R36" s="23">
        <v>34.8</v>
      </c>
      <c r="S36" s="77">
        <v>26.9</v>
      </c>
      <c r="T36" s="78" t="s">
        <v>24</v>
      </c>
      <c r="U36" s="79" t="s">
        <v>30</v>
      </c>
      <c r="V36" s="82"/>
      <c r="W36" s="82"/>
      <c r="X36" s="82"/>
      <c r="Y36" s="82"/>
      <c r="Z36" s="82"/>
      <c r="AA36" s="82"/>
    </row>
    <row r="37" ht="17.25" customHeight="1">
      <c r="A37" s="3"/>
      <c r="B37" s="75"/>
      <c r="C37" s="23">
        <v>15.0</v>
      </c>
      <c r="D37" s="28">
        <v>35.6</v>
      </c>
      <c r="E37" s="28">
        <v>28.8</v>
      </c>
      <c r="F37" s="80" t="s">
        <v>24</v>
      </c>
      <c r="G37" s="82">
        <f>COUNTIF(F23:F43,"NEGATIVE")</f>
        <v>0</v>
      </c>
      <c r="H37" s="13"/>
      <c r="I37" s="75"/>
      <c r="J37" s="23">
        <v>15.0</v>
      </c>
      <c r="K37" s="23">
        <v>35.1</v>
      </c>
      <c r="L37" s="23">
        <v>27.6</v>
      </c>
      <c r="M37" s="71" t="s">
        <v>24</v>
      </c>
      <c r="N37" s="82">
        <f>COUNTIF(M23:M43,"NEGATIVE")</f>
        <v>0</v>
      </c>
      <c r="O37" s="38"/>
      <c r="P37" s="75"/>
      <c r="Q37" s="23">
        <v>15.0</v>
      </c>
      <c r="R37" s="23">
        <v>36.6</v>
      </c>
      <c r="S37" s="77">
        <v>27.0</v>
      </c>
      <c r="T37" s="78" t="s">
        <v>24</v>
      </c>
      <c r="U37" s="82">
        <f>COUNTIF(T23:T43,"NEGATIVE")</f>
        <v>0</v>
      </c>
      <c r="V37" s="82"/>
      <c r="W37" s="82"/>
      <c r="X37" s="82"/>
      <c r="Y37" s="82"/>
      <c r="Z37" s="82"/>
      <c r="AA37" s="82"/>
    </row>
    <row r="38" ht="17.25" customHeight="1">
      <c r="A38" s="3"/>
      <c r="B38" s="75"/>
      <c r="C38" s="23">
        <v>16.0</v>
      </c>
      <c r="D38" s="28">
        <v>35.1</v>
      </c>
      <c r="E38" s="28">
        <v>28.8</v>
      </c>
      <c r="F38" s="80" t="s">
        <v>24</v>
      </c>
      <c r="G38" s="13"/>
      <c r="H38" s="13"/>
      <c r="I38" s="75"/>
      <c r="J38" s="23">
        <v>16.0</v>
      </c>
      <c r="K38" s="23">
        <v>36.5</v>
      </c>
      <c r="L38" s="23">
        <v>27.5</v>
      </c>
      <c r="M38" s="71" t="s">
        <v>24</v>
      </c>
      <c r="N38" s="3"/>
      <c r="O38" s="38"/>
      <c r="P38" s="75"/>
      <c r="Q38" s="23">
        <v>16.0</v>
      </c>
      <c r="R38" s="23">
        <v>35.7</v>
      </c>
      <c r="S38" s="77">
        <v>27.0</v>
      </c>
      <c r="T38" s="78" t="s">
        <v>24</v>
      </c>
      <c r="U38" s="82"/>
      <c r="V38" s="82"/>
      <c r="W38" s="82"/>
      <c r="X38" s="82"/>
      <c r="Y38" s="82"/>
      <c r="Z38" s="82"/>
      <c r="AA38" s="82"/>
    </row>
    <row r="39" ht="17.25" customHeight="1">
      <c r="A39" s="3"/>
      <c r="B39" s="75"/>
      <c r="C39" s="23">
        <v>17.0</v>
      </c>
      <c r="D39" s="28">
        <v>35.4</v>
      </c>
      <c r="E39" s="28">
        <v>28.8</v>
      </c>
      <c r="F39" s="80" t="s">
        <v>24</v>
      </c>
      <c r="G39" s="13"/>
      <c r="H39" s="13"/>
      <c r="I39" s="75"/>
      <c r="J39" s="23">
        <v>17.0</v>
      </c>
      <c r="K39" s="23">
        <v>36.3</v>
      </c>
      <c r="L39" s="23">
        <v>27.2</v>
      </c>
      <c r="M39" s="71" t="s">
        <v>24</v>
      </c>
      <c r="N39" s="3"/>
      <c r="O39" s="38"/>
      <c r="P39" s="75"/>
      <c r="Q39" s="23">
        <v>17.0</v>
      </c>
      <c r="R39" s="51">
        <v>35.0</v>
      </c>
      <c r="S39" s="77">
        <v>26.8</v>
      </c>
      <c r="T39" s="78" t="s">
        <v>24</v>
      </c>
      <c r="U39" s="82"/>
      <c r="V39" s="82"/>
      <c r="W39" s="82"/>
      <c r="X39" s="82"/>
      <c r="Y39" s="82"/>
      <c r="Z39" s="82"/>
      <c r="AA39" s="82"/>
    </row>
    <row r="40" ht="17.25" customHeight="1">
      <c r="A40" s="3"/>
      <c r="B40" s="75"/>
      <c r="C40" s="23">
        <v>18.0</v>
      </c>
      <c r="D40" s="28">
        <v>34.7</v>
      </c>
      <c r="E40" s="28">
        <v>28.7</v>
      </c>
      <c r="F40" s="80" t="s">
        <v>24</v>
      </c>
      <c r="G40" s="13"/>
      <c r="H40" s="13"/>
      <c r="I40" s="75"/>
      <c r="J40" s="23">
        <v>18.0</v>
      </c>
      <c r="K40" s="51">
        <v>36.0</v>
      </c>
      <c r="L40" s="23">
        <v>27.2</v>
      </c>
      <c r="M40" s="71" t="s">
        <v>24</v>
      </c>
      <c r="N40" s="3"/>
      <c r="O40" s="38"/>
      <c r="P40" s="75"/>
      <c r="Q40" s="23">
        <v>18.0</v>
      </c>
      <c r="R40" s="23">
        <v>35.3</v>
      </c>
      <c r="S40" s="77">
        <v>26.8</v>
      </c>
      <c r="T40" s="78" t="s">
        <v>24</v>
      </c>
      <c r="U40" s="82"/>
      <c r="V40" s="82"/>
      <c r="W40" s="82"/>
      <c r="X40" s="82"/>
      <c r="Y40" s="82"/>
      <c r="Z40" s="82"/>
      <c r="AA40" s="82"/>
    </row>
    <row r="41" ht="17.25" customHeight="1">
      <c r="A41" s="3"/>
      <c r="B41" s="75"/>
      <c r="C41" s="23">
        <v>19.0</v>
      </c>
      <c r="D41" s="28">
        <v>35.0</v>
      </c>
      <c r="E41" s="28">
        <v>28.9</v>
      </c>
      <c r="F41" s="80" t="s">
        <v>24</v>
      </c>
      <c r="G41" s="13"/>
      <c r="H41" s="13"/>
      <c r="I41" s="75"/>
      <c r="J41" s="23">
        <v>19.0</v>
      </c>
      <c r="K41" s="23">
        <v>36.7</v>
      </c>
      <c r="L41" s="23">
        <v>27.3</v>
      </c>
      <c r="M41" s="71" t="s">
        <v>24</v>
      </c>
      <c r="N41" s="3"/>
      <c r="O41" s="38"/>
      <c r="P41" s="75"/>
      <c r="Q41" s="23">
        <v>19.0</v>
      </c>
      <c r="R41" s="23">
        <v>38.6</v>
      </c>
      <c r="S41" s="77">
        <v>27.4</v>
      </c>
      <c r="T41" s="78" t="s">
        <v>24</v>
      </c>
      <c r="U41" s="82"/>
      <c r="V41" s="82"/>
      <c r="W41" s="82"/>
      <c r="X41" s="82"/>
      <c r="Y41" s="82"/>
      <c r="Z41" s="82"/>
      <c r="AA41" s="82"/>
    </row>
    <row r="42" ht="17.25" customHeight="1">
      <c r="A42" s="3"/>
      <c r="B42" s="75"/>
      <c r="C42" s="23">
        <v>20.0</v>
      </c>
      <c r="D42" s="28">
        <v>36.6</v>
      </c>
      <c r="E42" s="28">
        <v>28.7</v>
      </c>
      <c r="F42" s="80" t="s">
        <v>24</v>
      </c>
      <c r="G42" s="13"/>
      <c r="H42" s="13"/>
      <c r="I42" s="75"/>
      <c r="J42" s="23">
        <v>20.0</v>
      </c>
      <c r="K42" s="23">
        <v>35.3</v>
      </c>
      <c r="L42" s="23">
        <v>27.1</v>
      </c>
      <c r="M42" s="71" t="s">
        <v>24</v>
      </c>
      <c r="N42" s="3"/>
      <c r="O42" s="38"/>
      <c r="P42" s="75"/>
      <c r="Q42" s="23">
        <v>20.0</v>
      </c>
      <c r="R42" s="23">
        <v>36.2</v>
      </c>
      <c r="S42" s="77">
        <v>27.0</v>
      </c>
      <c r="T42" s="78" t="s">
        <v>24</v>
      </c>
      <c r="U42" s="82"/>
      <c r="V42" s="82"/>
      <c r="W42" s="82"/>
      <c r="X42" s="82"/>
      <c r="Y42" s="82"/>
      <c r="Z42" s="82"/>
      <c r="AA42" s="82"/>
    </row>
    <row r="43" ht="17.25" customHeight="1">
      <c r="A43" s="3"/>
      <c r="B43" s="83"/>
      <c r="C43" s="84">
        <v>21.0</v>
      </c>
      <c r="D43" s="85">
        <v>36.561362</v>
      </c>
      <c r="E43" s="85">
        <v>28.693843</v>
      </c>
      <c r="F43" s="86" t="s">
        <v>24</v>
      </c>
      <c r="G43" s="13"/>
      <c r="H43" s="13"/>
      <c r="I43" s="83"/>
      <c r="J43" s="84">
        <v>21.0</v>
      </c>
      <c r="K43" s="84">
        <v>36.7</v>
      </c>
      <c r="L43" s="84">
        <v>27.3</v>
      </c>
      <c r="M43" s="87" t="s">
        <v>24</v>
      </c>
      <c r="N43" s="3"/>
      <c r="O43" s="38"/>
      <c r="P43" s="83"/>
      <c r="Q43" s="84">
        <v>21.0</v>
      </c>
      <c r="R43" s="84">
        <v>35.5</v>
      </c>
      <c r="S43" s="88">
        <v>26.9</v>
      </c>
      <c r="T43" s="89" t="s">
        <v>24</v>
      </c>
      <c r="U43" s="82"/>
      <c r="V43" s="82"/>
      <c r="W43" s="82"/>
      <c r="X43" s="82"/>
      <c r="Y43" s="82"/>
      <c r="Z43" s="82"/>
      <c r="AA43" s="82"/>
    </row>
    <row r="44">
      <c r="A44" s="3"/>
      <c r="B44" s="65">
        <v>3125.0</v>
      </c>
      <c r="C44" s="66">
        <v>1.0</v>
      </c>
      <c r="D44" s="67">
        <v>35.6</v>
      </c>
      <c r="E44" s="67">
        <v>28.5</v>
      </c>
      <c r="F44" s="90" t="s">
        <v>24</v>
      </c>
      <c r="G44" s="69" t="s">
        <v>19</v>
      </c>
      <c r="H44" s="13"/>
      <c r="I44" s="70">
        <v>3125.0</v>
      </c>
      <c r="J44" s="66">
        <v>1.0</v>
      </c>
      <c r="K44" s="66">
        <v>36.4</v>
      </c>
      <c r="L44" s="66">
        <v>27.1</v>
      </c>
      <c r="M44" s="71" t="s">
        <v>24</v>
      </c>
      <c r="N44" s="69" t="s">
        <v>19</v>
      </c>
      <c r="O44" s="38"/>
      <c r="P44" s="91">
        <v>3125.0</v>
      </c>
      <c r="Q44" s="92">
        <v>1.0</v>
      </c>
      <c r="R44" s="92">
        <v>37.3</v>
      </c>
      <c r="S44" s="93">
        <v>27.2</v>
      </c>
      <c r="T44" s="94" t="s">
        <v>24</v>
      </c>
      <c r="U44" s="69" t="s">
        <v>19</v>
      </c>
      <c r="V44" s="82"/>
      <c r="W44" s="82"/>
      <c r="X44" s="82"/>
      <c r="Y44" s="82"/>
      <c r="Z44" s="82"/>
      <c r="AA44" s="82"/>
    </row>
    <row r="45">
      <c r="A45" s="3"/>
      <c r="B45" s="75"/>
      <c r="C45" s="23">
        <v>2.0</v>
      </c>
      <c r="D45" s="28">
        <v>36.1</v>
      </c>
      <c r="E45" s="28">
        <v>28.8</v>
      </c>
      <c r="F45" s="80" t="s">
        <v>24</v>
      </c>
      <c r="G45" s="76">
        <f>AVERAGE(D44:D48,D50:D64)</f>
        <v>36.45</v>
      </c>
      <c r="H45" s="13"/>
      <c r="I45" s="75"/>
      <c r="J45" s="23">
        <v>2.0</v>
      </c>
      <c r="K45" s="23">
        <v>36.6</v>
      </c>
      <c r="L45" s="23">
        <v>27.2</v>
      </c>
      <c r="M45" s="71" t="s">
        <v>24</v>
      </c>
      <c r="N45" s="76">
        <f>AVERAGE(K44:K61,K63:K64)</f>
        <v>37.18</v>
      </c>
      <c r="O45" s="38"/>
      <c r="P45" s="75"/>
      <c r="Q45" s="23">
        <v>2.0</v>
      </c>
      <c r="R45" s="23">
        <v>38.7</v>
      </c>
      <c r="S45" s="51">
        <v>27.2</v>
      </c>
      <c r="T45" s="78" t="s">
        <v>24</v>
      </c>
      <c r="U45" s="76">
        <f>AVERAGE(R44:R64)</f>
        <v>36.9</v>
      </c>
      <c r="V45" s="82"/>
      <c r="W45" s="82"/>
      <c r="X45" s="82"/>
      <c r="Y45" s="82"/>
      <c r="Z45" s="82"/>
      <c r="AA45" s="82"/>
    </row>
    <row r="46">
      <c r="A46" s="3"/>
      <c r="B46" s="75"/>
      <c r="C46" s="23">
        <v>3.0</v>
      </c>
      <c r="D46" s="28">
        <v>36.5</v>
      </c>
      <c r="E46" s="28">
        <v>28.8</v>
      </c>
      <c r="F46" s="80" t="s">
        <v>24</v>
      </c>
      <c r="G46" s="79" t="s">
        <v>20</v>
      </c>
      <c r="H46" s="13"/>
      <c r="I46" s="75"/>
      <c r="J46" s="23">
        <v>3.0</v>
      </c>
      <c r="K46" s="23">
        <v>35.7</v>
      </c>
      <c r="L46" s="23">
        <v>27.3</v>
      </c>
      <c r="M46" s="71" t="s">
        <v>24</v>
      </c>
      <c r="N46" s="79" t="s">
        <v>20</v>
      </c>
      <c r="O46" s="38"/>
      <c r="P46" s="75"/>
      <c r="Q46" s="23">
        <v>3.0</v>
      </c>
      <c r="R46" s="23">
        <v>37.4</v>
      </c>
      <c r="S46" s="51">
        <v>27.0</v>
      </c>
      <c r="T46" s="78" t="s">
        <v>24</v>
      </c>
      <c r="U46" s="79" t="s">
        <v>20</v>
      </c>
      <c r="V46" s="82"/>
      <c r="W46" s="82"/>
      <c r="X46" s="82"/>
      <c r="Y46" s="82"/>
      <c r="Z46" s="82"/>
      <c r="AA46" s="82"/>
    </row>
    <row r="47">
      <c r="A47" s="3"/>
      <c r="B47" s="75"/>
      <c r="C47" s="23">
        <v>4.0</v>
      </c>
      <c r="D47" s="28">
        <v>35.6</v>
      </c>
      <c r="E47" s="28">
        <v>28.5</v>
      </c>
      <c r="F47" s="80" t="s">
        <v>24</v>
      </c>
      <c r="G47" s="76">
        <f>STDEV(D44:D48,D50:D64)</f>
        <v>0.6151593717</v>
      </c>
      <c r="H47" s="13"/>
      <c r="I47" s="75"/>
      <c r="J47" s="23">
        <v>4.0</v>
      </c>
      <c r="K47" s="23">
        <v>37.9</v>
      </c>
      <c r="L47" s="23">
        <v>27.1</v>
      </c>
      <c r="M47" s="71" t="s">
        <v>24</v>
      </c>
      <c r="N47" s="76">
        <f>STDEV(K44:K61,K63:K64)</f>
        <v>0.8859131477</v>
      </c>
      <c r="O47" s="38"/>
      <c r="P47" s="75"/>
      <c r="Q47" s="23">
        <v>4.0</v>
      </c>
      <c r="R47" s="23">
        <v>36.7</v>
      </c>
      <c r="S47" s="51">
        <v>26.9</v>
      </c>
      <c r="T47" s="78" t="s">
        <v>24</v>
      </c>
      <c r="U47" s="76">
        <f>STDEV(R44:R64)</f>
        <v>1.098635517</v>
      </c>
      <c r="V47" s="82"/>
      <c r="W47" s="82"/>
      <c r="X47" s="82"/>
      <c r="Y47" s="82"/>
      <c r="Z47" s="82"/>
      <c r="AA47" s="82"/>
    </row>
    <row r="48">
      <c r="A48" s="3"/>
      <c r="B48" s="75"/>
      <c r="C48" s="23">
        <v>5.0</v>
      </c>
      <c r="D48" s="28">
        <v>35.7</v>
      </c>
      <c r="E48" s="28">
        <v>28.7</v>
      </c>
      <c r="F48" s="80" t="s">
        <v>24</v>
      </c>
      <c r="G48" s="82"/>
      <c r="H48" s="13"/>
      <c r="I48" s="75"/>
      <c r="J48" s="23">
        <v>5.0</v>
      </c>
      <c r="K48" s="23">
        <v>36.9</v>
      </c>
      <c r="L48" s="23">
        <v>27.3</v>
      </c>
      <c r="M48" s="71" t="s">
        <v>24</v>
      </c>
      <c r="N48" s="82"/>
      <c r="O48" s="38"/>
      <c r="P48" s="75"/>
      <c r="Q48" s="23">
        <v>5.0</v>
      </c>
      <c r="R48" s="23">
        <v>36.3</v>
      </c>
      <c r="S48" s="51">
        <v>27.0</v>
      </c>
      <c r="T48" s="78" t="s">
        <v>24</v>
      </c>
      <c r="U48" s="82"/>
      <c r="V48" s="82"/>
      <c r="W48" s="82"/>
      <c r="X48" s="82"/>
      <c r="Y48" s="82"/>
      <c r="Z48" s="82"/>
      <c r="AA48" s="82"/>
    </row>
    <row r="49">
      <c r="A49" s="3"/>
      <c r="B49" s="75"/>
      <c r="C49" s="95">
        <v>6.0</v>
      </c>
      <c r="D49" s="96">
        <v>38.6</v>
      </c>
      <c r="E49" s="96">
        <v>29.0</v>
      </c>
      <c r="F49" s="97" t="s">
        <v>30</v>
      </c>
      <c r="G49" s="69" t="s">
        <v>21</v>
      </c>
      <c r="H49" s="13"/>
      <c r="I49" s="75"/>
      <c r="J49" s="23">
        <v>6.0</v>
      </c>
      <c r="K49" s="23">
        <v>36.5</v>
      </c>
      <c r="L49" s="23">
        <v>27.4</v>
      </c>
      <c r="M49" s="71" t="s">
        <v>24</v>
      </c>
      <c r="N49" s="69" t="s">
        <v>21</v>
      </c>
      <c r="O49" s="38"/>
      <c r="P49" s="75"/>
      <c r="Q49" s="23">
        <v>6.0</v>
      </c>
      <c r="R49" s="23">
        <v>35.8</v>
      </c>
      <c r="S49" s="51">
        <v>27.1</v>
      </c>
      <c r="T49" s="78" t="s">
        <v>24</v>
      </c>
      <c r="U49" s="69" t="s">
        <v>21</v>
      </c>
      <c r="V49" s="82"/>
      <c r="W49" s="82"/>
      <c r="X49" s="82"/>
      <c r="Y49" s="82"/>
      <c r="Z49" s="82"/>
      <c r="AA49" s="82"/>
    </row>
    <row r="50">
      <c r="A50" s="3"/>
      <c r="B50" s="75"/>
      <c r="C50" s="23">
        <v>7.0</v>
      </c>
      <c r="D50" s="28">
        <v>37.0</v>
      </c>
      <c r="E50" s="28">
        <v>28.6</v>
      </c>
      <c r="F50" s="80" t="s">
        <v>24</v>
      </c>
      <c r="G50" s="76">
        <f>AVERAGE(E44:E48,E50:E64)</f>
        <v>28.835</v>
      </c>
      <c r="H50" s="13"/>
      <c r="I50" s="75"/>
      <c r="J50" s="23">
        <v>7.0</v>
      </c>
      <c r="K50" s="23">
        <v>37.8</v>
      </c>
      <c r="L50" s="23">
        <v>27.3</v>
      </c>
      <c r="M50" s="71" t="s">
        <v>24</v>
      </c>
      <c r="N50" s="76">
        <f>AVERAGE(L44:L61,L63:L64)</f>
        <v>27.26</v>
      </c>
      <c r="O50" s="38"/>
      <c r="P50" s="75"/>
      <c r="Q50" s="23">
        <v>7.0</v>
      </c>
      <c r="R50" s="23">
        <v>36.1</v>
      </c>
      <c r="S50" s="51">
        <v>27.1</v>
      </c>
      <c r="T50" s="78" t="s">
        <v>24</v>
      </c>
      <c r="U50" s="76">
        <f>AVERAGE(S44:S64)</f>
        <v>27.00952381</v>
      </c>
      <c r="V50" s="82"/>
      <c r="W50" s="82"/>
      <c r="X50" s="82"/>
      <c r="Y50" s="82"/>
      <c r="Z50" s="82"/>
      <c r="AA50" s="82"/>
    </row>
    <row r="51">
      <c r="A51" s="3"/>
      <c r="B51" s="75"/>
      <c r="C51" s="23">
        <v>8.0</v>
      </c>
      <c r="D51" s="28">
        <v>35.7</v>
      </c>
      <c r="E51" s="28">
        <v>28.6</v>
      </c>
      <c r="F51" s="80" t="s">
        <v>24</v>
      </c>
      <c r="G51" s="79" t="s">
        <v>22</v>
      </c>
      <c r="H51" s="13"/>
      <c r="I51" s="75"/>
      <c r="J51" s="23">
        <v>8.0</v>
      </c>
      <c r="K51" s="23">
        <v>36.7</v>
      </c>
      <c r="L51" s="23">
        <v>27.4</v>
      </c>
      <c r="M51" s="71" t="s">
        <v>24</v>
      </c>
      <c r="N51" s="79" t="s">
        <v>22</v>
      </c>
      <c r="O51" s="38"/>
      <c r="P51" s="75"/>
      <c r="Q51" s="23">
        <v>8.0</v>
      </c>
      <c r="R51" s="23">
        <v>36.3</v>
      </c>
      <c r="S51" s="51">
        <v>27.3</v>
      </c>
      <c r="T51" s="78" t="s">
        <v>24</v>
      </c>
      <c r="U51" s="79" t="s">
        <v>22</v>
      </c>
      <c r="V51" s="82"/>
      <c r="W51" s="82"/>
      <c r="X51" s="82"/>
      <c r="Y51" s="82"/>
      <c r="Z51" s="82"/>
      <c r="AA51" s="82"/>
    </row>
    <row r="52">
      <c r="A52" s="3"/>
      <c r="B52" s="75"/>
      <c r="C52" s="23">
        <v>9.0</v>
      </c>
      <c r="D52" s="28">
        <v>36.3</v>
      </c>
      <c r="E52" s="28">
        <v>28.9</v>
      </c>
      <c r="F52" s="80" t="s">
        <v>24</v>
      </c>
      <c r="G52" s="76">
        <f>STDEV(E44:E48,E50:E64)</f>
        <v>0.3248886449</v>
      </c>
      <c r="H52" s="13"/>
      <c r="I52" s="75"/>
      <c r="J52" s="23">
        <v>9.0</v>
      </c>
      <c r="K52" s="23">
        <v>36.3</v>
      </c>
      <c r="L52" s="23">
        <v>27.2</v>
      </c>
      <c r="M52" s="71" t="s">
        <v>24</v>
      </c>
      <c r="N52" s="76">
        <f>STDEV(L44:L61,L63:L64)</f>
        <v>0.1095445115</v>
      </c>
      <c r="O52" s="38"/>
      <c r="P52" s="75"/>
      <c r="Q52" s="23">
        <v>9.0</v>
      </c>
      <c r="R52" s="23">
        <v>37.7</v>
      </c>
      <c r="S52" s="51">
        <v>27.0</v>
      </c>
      <c r="T52" s="78" t="s">
        <v>24</v>
      </c>
      <c r="U52" s="76">
        <f>STDEV(S44:S64)</f>
        <v>0.1300183137</v>
      </c>
      <c r="V52" s="82"/>
      <c r="W52" s="82"/>
      <c r="X52" s="82"/>
      <c r="Y52" s="82"/>
      <c r="Z52" s="82"/>
      <c r="AA52" s="82"/>
    </row>
    <row r="53">
      <c r="A53" s="3"/>
      <c r="B53" s="75"/>
      <c r="C53" s="23">
        <v>10.0</v>
      </c>
      <c r="D53" s="28">
        <v>36.6</v>
      </c>
      <c r="E53" s="28">
        <v>28.7</v>
      </c>
      <c r="F53" s="80" t="s">
        <v>24</v>
      </c>
      <c r="G53" s="82"/>
      <c r="H53" s="13"/>
      <c r="I53" s="75"/>
      <c r="J53" s="23">
        <v>10.0</v>
      </c>
      <c r="K53" s="51">
        <v>39.0</v>
      </c>
      <c r="L53" s="23">
        <v>27.1</v>
      </c>
      <c r="M53" s="71" t="s">
        <v>24</v>
      </c>
      <c r="N53" s="82"/>
      <c r="O53" s="38"/>
      <c r="P53" s="75"/>
      <c r="Q53" s="23">
        <v>10.0</v>
      </c>
      <c r="R53" s="23">
        <v>36.5</v>
      </c>
      <c r="S53" s="51">
        <v>27.0</v>
      </c>
      <c r="T53" s="78" t="s">
        <v>24</v>
      </c>
      <c r="U53" s="82"/>
      <c r="V53" s="82"/>
      <c r="W53" s="82"/>
      <c r="X53" s="82"/>
      <c r="Y53" s="82"/>
      <c r="Z53" s="82"/>
      <c r="AA53" s="82"/>
    </row>
    <row r="54">
      <c r="A54" s="3"/>
      <c r="B54" s="75"/>
      <c r="C54" s="23">
        <v>11.0</v>
      </c>
      <c r="D54" s="28">
        <v>37.5</v>
      </c>
      <c r="E54" s="28">
        <v>28.8</v>
      </c>
      <c r="F54" s="80" t="s">
        <v>24</v>
      </c>
      <c r="G54" s="79" t="s">
        <v>24</v>
      </c>
      <c r="H54" s="13"/>
      <c r="I54" s="75"/>
      <c r="J54" s="23">
        <v>11.0</v>
      </c>
      <c r="K54" s="23">
        <v>37.9</v>
      </c>
      <c r="L54" s="23">
        <v>27.3</v>
      </c>
      <c r="M54" s="71" t="s">
        <v>24</v>
      </c>
      <c r="N54" s="79" t="s">
        <v>24</v>
      </c>
      <c r="O54" s="38"/>
      <c r="P54" s="75"/>
      <c r="Q54" s="23">
        <v>11.0</v>
      </c>
      <c r="R54" s="23">
        <v>36.1</v>
      </c>
      <c r="S54" s="51">
        <v>27.0</v>
      </c>
      <c r="T54" s="78" t="s">
        <v>24</v>
      </c>
      <c r="U54" s="79" t="s">
        <v>24</v>
      </c>
      <c r="V54" s="82"/>
      <c r="W54" s="82"/>
      <c r="X54" s="82"/>
      <c r="Y54" s="82"/>
      <c r="Z54" s="82"/>
      <c r="AA54" s="82"/>
    </row>
    <row r="55">
      <c r="A55" s="3"/>
      <c r="B55" s="75"/>
      <c r="C55" s="23">
        <v>12.0</v>
      </c>
      <c r="D55" s="28">
        <v>36.9</v>
      </c>
      <c r="E55" s="28">
        <v>28.9</v>
      </c>
      <c r="F55" s="80" t="s">
        <v>24</v>
      </c>
      <c r="G55" s="82">
        <f>COUNTIF(F44:F64,"POSITIVE")</f>
        <v>20</v>
      </c>
      <c r="H55" s="13"/>
      <c r="I55" s="75"/>
      <c r="J55" s="23">
        <v>12.0</v>
      </c>
      <c r="K55" s="23">
        <v>36.6</v>
      </c>
      <c r="L55" s="23">
        <v>27.1</v>
      </c>
      <c r="M55" s="71" t="s">
        <v>24</v>
      </c>
      <c r="N55" s="82">
        <f>COUNTIF(M44:M64,"POSITIVE")</f>
        <v>20</v>
      </c>
      <c r="O55" s="38"/>
      <c r="P55" s="75"/>
      <c r="Q55" s="23">
        <v>12.0</v>
      </c>
      <c r="R55" s="23">
        <v>35.5</v>
      </c>
      <c r="S55" s="51">
        <v>26.9</v>
      </c>
      <c r="T55" s="78" t="s">
        <v>24</v>
      </c>
      <c r="U55" s="82">
        <f>COUNTIF(T44:T64,"POSITIVE")</f>
        <v>21</v>
      </c>
      <c r="V55" s="82"/>
      <c r="W55" s="82"/>
      <c r="X55" s="82"/>
      <c r="Y55" s="82"/>
      <c r="Z55" s="82"/>
      <c r="AA55" s="82"/>
    </row>
    <row r="56">
      <c r="A56" s="3"/>
      <c r="B56" s="75"/>
      <c r="C56" s="23">
        <v>13.0</v>
      </c>
      <c r="D56" s="28">
        <v>37.6</v>
      </c>
      <c r="E56" s="28">
        <v>28.6</v>
      </c>
      <c r="F56" s="80" t="s">
        <v>24</v>
      </c>
      <c r="G56" s="82"/>
      <c r="H56" s="13"/>
      <c r="I56" s="75"/>
      <c r="J56" s="23">
        <v>13.0</v>
      </c>
      <c r="K56" s="23">
        <v>36.2</v>
      </c>
      <c r="L56" s="23">
        <v>27.3</v>
      </c>
      <c r="M56" s="71" t="s">
        <v>24</v>
      </c>
      <c r="N56" s="82"/>
      <c r="O56" s="38"/>
      <c r="P56" s="75"/>
      <c r="Q56" s="23">
        <v>13.0</v>
      </c>
      <c r="R56" s="23">
        <v>38.8</v>
      </c>
      <c r="S56" s="51">
        <v>26.8</v>
      </c>
      <c r="T56" s="78" t="s">
        <v>24</v>
      </c>
      <c r="U56" s="82"/>
      <c r="V56" s="82"/>
      <c r="W56" s="82"/>
      <c r="X56" s="82"/>
      <c r="Y56" s="82"/>
      <c r="Z56" s="82"/>
      <c r="AA56" s="82"/>
    </row>
    <row r="57">
      <c r="A57" s="3"/>
      <c r="B57" s="75"/>
      <c r="C57" s="23">
        <v>14.0</v>
      </c>
      <c r="D57" s="28">
        <v>37.0</v>
      </c>
      <c r="E57" s="28">
        <v>29.7</v>
      </c>
      <c r="F57" s="80" t="s">
        <v>24</v>
      </c>
      <c r="G57" s="79" t="s">
        <v>30</v>
      </c>
      <c r="H57" s="13"/>
      <c r="I57" s="75"/>
      <c r="J57" s="23">
        <v>14.0</v>
      </c>
      <c r="K57" s="23">
        <v>37.7</v>
      </c>
      <c r="L57" s="23">
        <v>27.3</v>
      </c>
      <c r="M57" s="71" t="s">
        <v>24</v>
      </c>
      <c r="N57" s="79" t="s">
        <v>30</v>
      </c>
      <c r="O57" s="38"/>
      <c r="P57" s="75"/>
      <c r="Q57" s="23">
        <v>14.0</v>
      </c>
      <c r="R57" s="23">
        <v>36.3</v>
      </c>
      <c r="S57" s="51">
        <v>26.8</v>
      </c>
      <c r="T57" s="78" t="s">
        <v>24</v>
      </c>
      <c r="U57" s="79" t="s">
        <v>30</v>
      </c>
      <c r="V57" s="82"/>
      <c r="W57" s="82"/>
      <c r="X57" s="82"/>
      <c r="Y57" s="82"/>
      <c r="Z57" s="82"/>
      <c r="AA57" s="82"/>
    </row>
    <row r="58">
      <c r="A58" s="3"/>
      <c r="B58" s="75"/>
      <c r="C58" s="23">
        <v>15.0</v>
      </c>
      <c r="D58" s="28">
        <v>36.7</v>
      </c>
      <c r="E58" s="28">
        <v>29.2</v>
      </c>
      <c r="F58" s="80" t="s">
        <v>24</v>
      </c>
      <c r="G58" s="82">
        <f>COUNTIF(F44:F64,"NEGATIVE")</f>
        <v>1</v>
      </c>
      <c r="H58" s="13"/>
      <c r="I58" s="75"/>
      <c r="J58" s="23">
        <v>15.0</v>
      </c>
      <c r="K58" s="23">
        <v>36.8</v>
      </c>
      <c r="L58" s="23">
        <v>27.1</v>
      </c>
      <c r="M58" s="71" t="s">
        <v>24</v>
      </c>
      <c r="N58" s="82">
        <f>COUNTIF(M44:M64,"NEGATIVE")</f>
        <v>1</v>
      </c>
      <c r="O58" s="38"/>
      <c r="P58" s="75"/>
      <c r="Q58" s="23">
        <v>15.0</v>
      </c>
      <c r="R58" s="23">
        <v>36.4</v>
      </c>
      <c r="S58" s="51">
        <v>27.1</v>
      </c>
      <c r="T58" s="78" t="s">
        <v>24</v>
      </c>
      <c r="U58" s="82">
        <f>COUNTIF(T44:T64,"NEGATIVE")</f>
        <v>0</v>
      </c>
      <c r="V58" s="82"/>
      <c r="W58" s="82"/>
      <c r="X58" s="82"/>
      <c r="Y58" s="82"/>
      <c r="Z58" s="82"/>
      <c r="AA58" s="82"/>
    </row>
    <row r="59">
      <c r="A59" s="3"/>
      <c r="B59" s="75"/>
      <c r="C59" s="23">
        <v>16.0</v>
      </c>
      <c r="D59" s="28">
        <v>35.6</v>
      </c>
      <c r="E59" s="28">
        <v>28.7</v>
      </c>
      <c r="F59" s="80" t="s">
        <v>24</v>
      </c>
      <c r="G59" s="13"/>
      <c r="H59" s="13"/>
      <c r="I59" s="75"/>
      <c r="J59" s="23">
        <v>16.0</v>
      </c>
      <c r="K59" s="23">
        <v>37.9</v>
      </c>
      <c r="L59" s="23">
        <v>27.3</v>
      </c>
      <c r="M59" s="71" t="s">
        <v>24</v>
      </c>
      <c r="N59" s="3"/>
      <c r="O59" s="38"/>
      <c r="P59" s="75"/>
      <c r="Q59" s="23">
        <v>16.0</v>
      </c>
      <c r="R59" s="23">
        <v>36.7</v>
      </c>
      <c r="S59" s="51">
        <v>27.1</v>
      </c>
      <c r="T59" s="78" t="s">
        <v>24</v>
      </c>
      <c r="U59" s="82"/>
      <c r="V59" s="82"/>
      <c r="W59" s="82"/>
      <c r="X59" s="82"/>
      <c r="Y59" s="82"/>
      <c r="Z59" s="82"/>
      <c r="AA59" s="82"/>
    </row>
    <row r="60">
      <c r="A60" s="3"/>
      <c r="B60" s="75"/>
      <c r="C60" s="23">
        <v>17.0</v>
      </c>
      <c r="D60" s="28">
        <v>36.5</v>
      </c>
      <c r="E60" s="28">
        <v>28.9</v>
      </c>
      <c r="F60" s="80" t="s">
        <v>24</v>
      </c>
      <c r="G60" s="13"/>
      <c r="H60" s="13"/>
      <c r="I60" s="75"/>
      <c r="J60" s="23">
        <v>17.0</v>
      </c>
      <c r="K60" s="23">
        <v>38.7</v>
      </c>
      <c r="L60" s="23">
        <v>27.3</v>
      </c>
      <c r="M60" s="71" t="s">
        <v>24</v>
      </c>
      <c r="N60" s="3"/>
      <c r="O60" s="38"/>
      <c r="P60" s="75"/>
      <c r="Q60" s="23">
        <v>17.0</v>
      </c>
      <c r="R60" s="23">
        <v>35.9</v>
      </c>
      <c r="S60" s="51">
        <v>26.9</v>
      </c>
      <c r="T60" s="78" t="s">
        <v>24</v>
      </c>
      <c r="U60" s="82"/>
      <c r="V60" s="82"/>
      <c r="W60" s="82"/>
      <c r="X60" s="82"/>
      <c r="Y60" s="82"/>
      <c r="Z60" s="82"/>
      <c r="AA60" s="82"/>
    </row>
    <row r="61">
      <c r="A61" s="3"/>
      <c r="B61" s="75"/>
      <c r="C61" s="23">
        <v>18.0</v>
      </c>
      <c r="D61" s="28">
        <v>37.0</v>
      </c>
      <c r="E61" s="28">
        <v>29.6</v>
      </c>
      <c r="F61" s="80" t="s">
        <v>24</v>
      </c>
      <c r="G61" s="13"/>
      <c r="H61" s="13"/>
      <c r="I61" s="75"/>
      <c r="J61" s="23">
        <v>18.0</v>
      </c>
      <c r="K61" s="23">
        <v>38.1</v>
      </c>
      <c r="L61" s="23">
        <v>27.4</v>
      </c>
      <c r="M61" s="71" t="s">
        <v>24</v>
      </c>
      <c r="N61" s="3"/>
      <c r="O61" s="38"/>
      <c r="P61" s="75"/>
      <c r="Q61" s="23">
        <v>18.0</v>
      </c>
      <c r="R61" s="23">
        <v>37.7</v>
      </c>
      <c r="S61" s="51">
        <v>27.0</v>
      </c>
      <c r="T61" s="78" t="s">
        <v>24</v>
      </c>
      <c r="U61" s="82"/>
      <c r="V61" s="82"/>
      <c r="W61" s="82"/>
      <c r="X61" s="82"/>
      <c r="Y61" s="82"/>
      <c r="Z61" s="82"/>
      <c r="AA61" s="82"/>
    </row>
    <row r="62">
      <c r="A62" s="3"/>
      <c r="B62" s="75"/>
      <c r="C62" s="23">
        <v>19.0</v>
      </c>
      <c r="D62" s="28">
        <v>36.5</v>
      </c>
      <c r="E62" s="28">
        <v>28.7</v>
      </c>
      <c r="F62" s="80" t="s">
        <v>24</v>
      </c>
      <c r="G62" s="13"/>
      <c r="H62" s="13"/>
      <c r="I62" s="75"/>
      <c r="J62" s="95">
        <v>19.0</v>
      </c>
      <c r="K62" s="95" t="s">
        <v>29</v>
      </c>
      <c r="L62" s="95">
        <v>27.2</v>
      </c>
      <c r="M62" s="98" t="s">
        <v>30</v>
      </c>
      <c r="N62" s="3"/>
      <c r="O62" s="38"/>
      <c r="P62" s="75"/>
      <c r="Q62" s="23">
        <v>19.0</v>
      </c>
      <c r="R62" s="23">
        <v>35.6</v>
      </c>
      <c r="S62" s="51">
        <v>26.9</v>
      </c>
      <c r="T62" s="78" t="s">
        <v>24</v>
      </c>
      <c r="U62" s="82"/>
      <c r="V62" s="82"/>
      <c r="W62" s="82"/>
      <c r="X62" s="82"/>
      <c r="Y62" s="82"/>
      <c r="Z62" s="82"/>
      <c r="AA62" s="82"/>
    </row>
    <row r="63">
      <c r="A63" s="3"/>
      <c r="B63" s="75"/>
      <c r="C63" s="23">
        <v>20.0</v>
      </c>
      <c r="D63" s="28">
        <v>36.1</v>
      </c>
      <c r="E63" s="28">
        <v>28.6</v>
      </c>
      <c r="F63" s="80" t="s">
        <v>24</v>
      </c>
      <c r="G63" s="13"/>
      <c r="H63" s="13"/>
      <c r="I63" s="75"/>
      <c r="J63" s="23">
        <v>20.0</v>
      </c>
      <c r="K63" s="23">
        <v>36.9</v>
      </c>
      <c r="L63" s="23">
        <v>27.3</v>
      </c>
      <c r="M63" s="71" t="s">
        <v>24</v>
      </c>
      <c r="N63" s="3"/>
      <c r="O63" s="38"/>
      <c r="P63" s="75"/>
      <c r="Q63" s="23">
        <v>20.0</v>
      </c>
      <c r="R63" s="23">
        <v>39.4</v>
      </c>
      <c r="S63" s="51">
        <v>26.9</v>
      </c>
      <c r="T63" s="78" t="s">
        <v>24</v>
      </c>
      <c r="U63" s="82"/>
      <c r="V63" s="82"/>
      <c r="W63" s="82"/>
      <c r="X63" s="82"/>
      <c r="Y63" s="82"/>
      <c r="Z63" s="82"/>
      <c r="AA63" s="82"/>
    </row>
    <row r="64">
      <c r="A64" s="3"/>
      <c r="B64" s="83"/>
      <c r="C64" s="84">
        <v>21.0</v>
      </c>
      <c r="D64" s="99">
        <v>36.5</v>
      </c>
      <c r="E64" s="99">
        <v>28.9</v>
      </c>
      <c r="F64" s="100" t="s">
        <v>24</v>
      </c>
      <c r="G64" s="13"/>
      <c r="H64" s="13"/>
      <c r="I64" s="83"/>
      <c r="J64" s="84">
        <v>21.0</v>
      </c>
      <c r="K64" s="51">
        <v>37.0</v>
      </c>
      <c r="L64" s="84">
        <v>27.4</v>
      </c>
      <c r="M64" s="71" t="s">
        <v>24</v>
      </c>
      <c r="N64" s="3"/>
      <c r="O64" s="38"/>
      <c r="P64" s="83"/>
      <c r="Q64" s="84">
        <v>21.0</v>
      </c>
      <c r="R64" s="84">
        <v>37.7</v>
      </c>
      <c r="S64" s="85">
        <v>27.0</v>
      </c>
      <c r="T64" s="89" t="s">
        <v>24</v>
      </c>
      <c r="U64" s="82"/>
      <c r="V64" s="82"/>
      <c r="W64" s="82"/>
      <c r="X64" s="82"/>
      <c r="Y64" s="82"/>
      <c r="Z64" s="82"/>
      <c r="AA64" s="82"/>
    </row>
    <row r="65">
      <c r="A65" s="3"/>
      <c r="B65" s="101">
        <v>1560.0</v>
      </c>
      <c r="C65" s="66">
        <v>1.0</v>
      </c>
      <c r="D65" s="67">
        <v>37.6</v>
      </c>
      <c r="E65" s="67">
        <v>28.7</v>
      </c>
      <c r="F65" s="90" t="s">
        <v>24</v>
      </c>
      <c r="G65" s="69" t="s">
        <v>19</v>
      </c>
      <c r="H65" s="13"/>
      <c r="I65" s="70">
        <v>1560.0</v>
      </c>
      <c r="J65" s="102">
        <v>1.0</v>
      </c>
      <c r="K65" s="102" t="s">
        <v>29</v>
      </c>
      <c r="L65" s="102">
        <v>27.1</v>
      </c>
      <c r="M65" s="103" t="s">
        <v>30</v>
      </c>
      <c r="N65" s="69" t="s">
        <v>19</v>
      </c>
      <c r="O65" s="38"/>
      <c r="P65" s="70">
        <v>1560.0</v>
      </c>
      <c r="Q65" s="66">
        <v>1.0</v>
      </c>
      <c r="R65" s="66">
        <v>36.5</v>
      </c>
      <c r="S65" s="73">
        <v>27.1</v>
      </c>
      <c r="T65" s="94" t="s">
        <v>24</v>
      </c>
      <c r="U65" s="69" t="s">
        <v>19</v>
      </c>
      <c r="V65" s="104"/>
      <c r="W65" s="82"/>
      <c r="X65" s="82"/>
      <c r="Y65" s="82"/>
      <c r="Z65" s="82"/>
      <c r="AA65" s="82"/>
    </row>
    <row r="66">
      <c r="A66" s="3"/>
      <c r="B66" s="75"/>
      <c r="C66" s="95">
        <v>2.0</v>
      </c>
      <c r="D66" s="96" t="s">
        <v>29</v>
      </c>
      <c r="E66" s="96">
        <v>29.3</v>
      </c>
      <c r="F66" s="97" t="s">
        <v>30</v>
      </c>
      <c r="G66" s="76">
        <f>AVERAGE(D65,D68:D70,D72:D75,D77,D79:D80,D83)</f>
        <v>36.99166667</v>
      </c>
      <c r="H66" s="13"/>
      <c r="I66" s="75"/>
      <c r="J66" s="23">
        <v>2.0</v>
      </c>
      <c r="K66" s="23">
        <v>37.9</v>
      </c>
      <c r="L66" s="23">
        <v>27.2</v>
      </c>
      <c r="M66" s="71" t="s">
        <v>24</v>
      </c>
      <c r="N66" s="76">
        <f>AVERAGE(K66:K71,K73:K85)</f>
        <v>38.23684211</v>
      </c>
      <c r="O66" s="38"/>
      <c r="P66" s="75"/>
      <c r="Q66" s="23">
        <v>2.0</v>
      </c>
      <c r="R66" s="23">
        <v>37.6</v>
      </c>
      <c r="S66" s="51">
        <v>27.1</v>
      </c>
      <c r="T66" s="78" t="s">
        <v>24</v>
      </c>
      <c r="U66" s="76">
        <f>AVERAGE(R65:R85)</f>
        <v>37.60555556</v>
      </c>
      <c r="V66" s="82"/>
      <c r="W66" s="82"/>
      <c r="X66" s="82"/>
      <c r="Y66" s="82"/>
      <c r="Z66" s="82"/>
      <c r="AA66" s="82"/>
    </row>
    <row r="67">
      <c r="A67" s="3"/>
      <c r="B67" s="105"/>
      <c r="C67" s="95">
        <v>3.0</v>
      </c>
      <c r="D67" s="96">
        <v>38.5</v>
      </c>
      <c r="E67" s="96">
        <v>28.8</v>
      </c>
      <c r="F67" s="97" t="s">
        <v>30</v>
      </c>
      <c r="G67" s="79" t="s">
        <v>20</v>
      </c>
      <c r="H67" s="13"/>
      <c r="I67" s="75"/>
      <c r="J67" s="23">
        <v>3.0</v>
      </c>
      <c r="K67" s="23">
        <v>38.8</v>
      </c>
      <c r="L67" s="23">
        <v>27.2</v>
      </c>
      <c r="M67" s="71" t="s">
        <v>24</v>
      </c>
      <c r="N67" s="79" t="s">
        <v>20</v>
      </c>
      <c r="O67" s="38"/>
      <c r="P67" s="75"/>
      <c r="Q67" s="23">
        <v>3.0</v>
      </c>
      <c r="R67" s="23">
        <v>37.7</v>
      </c>
      <c r="S67" s="51">
        <v>27.0</v>
      </c>
      <c r="T67" s="78" t="s">
        <v>24</v>
      </c>
      <c r="U67" s="79" t="s">
        <v>20</v>
      </c>
      <c r="V67" s="82"/>
      <c r="W67" s="82"/>
      <c r="X67" s="82"/>
      <c r="Y67" s="82"/>
      <c r="Z67" s="82"/>
      <c r="AA67" s="82"/>
    </row>
    <row r="68">
      <c r="A68" s="3"/>
      <c r="B68" s="106"/>
      <c r="C68" s="23">
        <v>4.0</v>
      </c>
      <c r="D68" s="28">
        <v>37.3</v>
      </c>
      <c r="E68" s="28">
        <v>28.7</v>
      </c>
      <c r="F68" s="80" t="s">
        <v>24</v>
      </c>
      <c r="G68" s="76">
        <f>STDEV(D65,D68:D70,D72:D75,D77,D79:D80,D83)</f>
        <v>0.7621242243</v>
      </c>
      <c r="H68" s="13"/>
      <c r="I68" s="75"/>
      <c r="J68" s="23">
        <v>4.0</v>
      </c>
      <c r="K68" s="23">
        <v>36.8</v>
      </c>
      <c r="L68" s="23">
        <v>27.1</v>
      </c>
      <c r="M68" s="71" t="s">
        <v>24</v>
      </c>
      <c r="N68" s="76">
        <f>STDEV(K66:K71,K73:K85)</f>
        <v>0.7660943707</v>
      </c>
      <c r="O68" s="38"/>
      <c r="P68" s="75"/>
      <c r="Q68" s="23">
        <v>4.0</v>
      </c>
      <c r="R68" s="23">
        <v>37.1</v>
      </c>
      <c r="S68" s="51">
        <v>27.1</v>
      </c>
      <c r="T68" s="78" t="s">
        <v>24</v>
      </c>
      <c r="U68" s="76">
        <f>STDEV(R65:R85)</f>
        <v>0.7352248333</v>
      </c>
      <c r="V68" s="82"/>
      <c r="W68" s="82"/>
      <c r="X68" s="82"/>
      <c r="Y68" s="82"/>
      <c r="Z68" s="82"/>
      <c r="AA68" s="82"/>
    </row>
    <row r="69">
      <c r="A69" s="3"/>
      <c r="B69" s="105"/>
      <c r="C69" s="23">
        <v>5.0</v>
      </c>
      <c r="D69" s="28">
        <v>37.1</v>
      </c>
      <c r="E69" s="28">
        <v>29.0</v>
      </c>
      <c r="F69" s="80" t="s">
        <v>24</v>
      </c>
      <c r="G69" s="82"/>
      <c r="H69" s="13"/>
      <c r="I69" s="75"/>
      <c r="J69" s="23">
        <v>5.0</v>
      </c>
      <c r="K69" s="23">
        <v>38.4</v>
      </c>
      <c r="L69" s="23">
        <v>27.2</v>
      </c>
      <c r="M69" s="71" t="s">
        <v>24</v>
      </c>
      <c r="N69" s="82"/>
      <c r="O69" s="38"/>
      <c r="P69" s="75"/>
      <c r="Q69" s="23">
        <v>5.0</v>
      </c>
      <c r="R69" s="23">
        <v>37.3</v>
      </c>
      <c r="S69" s="51">
        <v>27.0</v>
      </c>
      <c r="T69" s="78" t="s">
        <v>24</v>
      </c>
      <c r="U69" s="82"/>
      <c r="V69" s="82"/>
      <c r="W69" s="82"/>
      <c r="X69" s="82"/>
      <c r="Y69" s="82"/>
      <c r="Z69" s="82"/>
      <c r="AA69" s="82"/>
    </row>
    <row r="70">
      <c r="A70" s="3"/>
      <c r="B70" s="106"/>
      <c r="C70" s="23">
        <v>6.0</v>
      </c>
      <c r="D70" s="28">
        <v>37.6</v>
      </c>
      <c r="E70" s="28">
        <v>28.8</v>
      </c>
      <c r="F70" s="80" t="s">
        <v>24</v>
      </c>
      <c r="G70" s="69" t="s">
        <v>21</v>
      </c>
      <c r="H70" s="13"/>
      <c r="I70" s="75"/>
      <c r="J70" s="23">
        <v>6.0</v>
      </c>
      <c r="K70" s="51">
        <v>39.0</v>
      </c>
      <c r="L70" s="23">
        <v>27.1</v>
      </c>
      <c r="M70" s="71" t="s">
        <v>24</v>
      </c>
      <c r="N70" s="69" t="s">
        <v>21</v>
      </c>
      <c r="O70" s="38"/>
      <c r="P70" s="75"/>
      <c r="Q70" s="95">
        <v>6.0</v>
      </c>
      <c r="R70" s="95" t="s">
        <v>29</v>
      </c>
      <c r="S70" s="107">
        <v>27.1</v>
      </c>
      <c r="T70" s="98" t="s">
        <v>30</v>
      </c>
      <c r="U70" s="69" t="s">
        <v>21</v>
      </c>
      <c r="V70" s="82"/>
      <c r="W70" s="82"/>
      <c r="X70" s="82"/>
      <c r="Y70" s="82"/>
      <c r="Z70" s="82"/>
      <c r="AA70" s="82"/>
    </row>
    <row r="71">
      <c r="B71" s="108"/>
      <c r="C71" s="95">
        <v>7.0</v>
      </c>
      <c r="D71" s="96">
        <v>39.1</v>
      </c>
      <c r="E71" s="96">
        <v>28.7</v>
      </c>
      <c r="F71" s="97" t="s">
        <v>30</v>
      </c>
      <c r="G71" s="76">
        <f>AVERAGE(E65,E68:E70,E72:E75,E77,E79:E80,E83)</f>
        <v>28.75833333</v>
      </c>
      <c r="H71" s="13"/>
      <c r="I71" s="75"/>
      <c r="J71" s="23">
        <v>7.0</v>
      </c>
      <c r="K71" s="23">
        <v>37.9</v>
      </c>
      <c r="L71" s="23">
        <v>27.2</v>
      </c>
      <c r="M71" s="71" t="s">
        <v>24</v>
      </c>
      <c r="N71" s="76">
        <f>AVERAGE(L66:L71,L73:L85)</f>
        <v>27.28947368</v>
      </c>
      <c r="O71" s="38"/>
      <c r="P71" s="75"/>
      <c r="Q71" s="23">
        <v>7.0</v>
      </c>
      <c r="R71" s="23">
        <v>36.9</v>
      </c>
      <c r="S71" s="51">
        <v>27.1</v>
      </c>
      <c r="T71" s="78" t="s">
        <v>24</v>
      </c>
      <c r="U71" s="76">
        <f>AVERAGE(S65:S69,S71:S76,S78,S80:S85)</f>
        <v>26.98333333</v>
      </c>
      <c r="V71" s="82"/>
      <c r="W71" s="82"/>
      <c r="X71" s="82"/>
      <c r="Y71" s="82"/>
      <c r="Z71" s="82"/>
      <c r="AA71" s="82"/>
    </row>
    <row r="72">
      <c r="B72" s="108"/>
      <c r="C72" s="23">
        <v>8.0</v>
      </c>
      <c r="D72" s="28">
        <v>36.2</v>
      </c>
      <c r="E72" s="28">
        <v>29.0</v>
      </c>
      <c r="F72" s="80" t="s">
        <v>24</v>
      </c>
      <c r="G72" s="79" t="s">
        <v>22</v>
      </c>
      <c r="H72" s="13"/>
      <c r="I72" s="75"/>
      <c r="J72" s="95">
        <v>8.0</v>
      </c>
      <c r="K72" s="95" t="s">
        <v>29</v>
      </c>
      <c r="L72" s="95">
        <v>27.4</v>
      </c>
      <c r="M72" s="98" t="s">
        <v>30</v>
      </c>
      <c r="N72" s="79" t="s">
        <v>22</v>
      </c>
      <c r="O72" s="38"/>
      <c r="P72" s="75"/>
      <c r="Q72" s="23">
        <v>8.0</v>
      </c>
      <c r="R72" s="51">
        <v>37.0</v>
      </c>
      <c r="S72" s="51">
        <v>27.0</v>
      </c>
      <c r="T72" s="78" t="s">
        <v>24</v>
      </c>
      <c r="U72" s="79" t="s">
        <v>22</v>
      </c>
      <c r="V72" s="82"/>
      <c r="W72" s="82"/>
      <c r="X72" s="82"/>
      <c r="Y72" s="82"/>
      <c r="Z72" s="82"/>
      <c r="AA72" s="82"/>
    </row>
    <row r="73">
      <c r="B73" s="108"/>
      <c r="C73" s="23">
        <v>9.0</v>
      </c>
      <c r="D73" s="28">
        <v>37.6</v>
      </c>
      <c r="E73" s="28">
        <v>28.8</v>
      </c>
      <c r="F73" s="80" t="s">
        <v>24</v>
      </c>
      <c r="G73" s="76">
        <f>STDEV(E65,E68:E70,E72:E75,E77,E79:E80,E83)</f>
        <v>0.1928651594</v>
      </c>
      <c r="H73" s="13"/>
      <c r="I73" s="75"/>
      <c r="J73" s="23">
        <v>9.0</v>
      </c>
      <c r="K73" s="23">
        <v>38.7</v>
      </c>
      <c r="L73" s="23">
        <v>27.2</v>
      </c>
      <c r="M73" s="71" t="s">
        <v>24</v>
      </c>
      <c r="N73" s="76">
        <f>STDEV(L66:L71,L73:L85)</f>
        <v>0.1523692038</v>
      </c>
      <c r="O73" s="38"/>
      <c r="P73" s="75"/>
      <c r="Q73" s="23">
        <v>9.0</v>
      </c>
      <c r="R73" s="23">
        <v>37.7</v>
      </c>
      <c r="S73" s="51">
        <v>26.9</v>
      </c>
      <c r="T73" s="78" t="s">
        <v>24</v>
      </c>
      <c r="U73" s="76">
        <f>STDEV(S65:S69,S71:S76,S78,S80:S85)</f>
        <v>0.08574929257</v>
      </c>
      <c r="V73" s="82"/>
      <c r="W73" s="82"/>
      <c r="X73" s="82"/>
      <c r="Y73" s="82"/>
      <c r="Z73" s="82"/>
      <c r="AA73" s="82"/>
    </row>
    <row r="74">
      <c r="B74" s="108"/>
      <c r="C74" s="23">
        <v>10.0</v>
      </c>
      <c r="D74" s="28">
        <v>37.1</v>
      </c>
      <c r="E74" s="28">
        <v>28.5</v>
      </c>
      <c r="F74" s="80" t="s">
        <v>24</v>
      </c>
      <c r="G74" s="82"/>
      <c r="H74" s="13"/>
      <c r="I74" s="75"/>
      <c r="J74" s="23">
        <v>10.0</v>
      </c>
      <c r="K74" s="23">
        <v>38.1</v>
      </c>
      <c r="L74" s="23">
        <v>27.3</v>
      </c>
      <c r="M74" s="71" t="s">
        <v>24</v>
      </c>
      <c r="N74" s="82"/>
      <c r="O74" s="38"/>
      <c r="P74" s="75"/>
      <c r="Q74" s="23">
        <v>10.0</v>
      </c>
      <c r="R74" s="23">
        <v>38.7</v>
      </c>
      <c r="S74" s="51">
        <v>26.8</v>
      </c>
      <c r="T74" s="78" t="s">
        <v>24</v>
      </c>
      <c r="U74" s="82"/>
      <c r="V74" s="82"/>
      <c r="W74" s="82"/>
      <c r="X74" s="82"/>
      <c r="Y74" s="82"/>
      <c r="Z74" s="82"/>
      <c r="AA74" s="82"/>
    </row>
    <row r="75">
      <c r="B75" s="108"/>
      <c r="C75" s="23">
        <v>11.0</v>
      </c>
      <c r="D75" s="28">
        <v>35.9</v>
      </c>
      <c r="E75" s="28">
        <v>29.1</v>
      </c>
      <c r="F75" s="80" t="s">
        <v>24</v>
      </c>
      <c r="G75" s="79" t="s">
        <v>24</v>
      </c>
      <c r="H75" s="13"/>
      <c r="I75" s="75"/>
      <c r="J75" s="23">
        <v>11.0</v>
      </c>
      <c r="K75" s="23">
        <v>39.4</v>
      </c>
      <c r="L75" s="23">
        <v>27.5</v>
      </c>
      <c r="M75" s="71" t="s">
        <v>24</v>
      </c>
      <c r="N75" s="79" t="s">
        <v>24</v>
      </c>
      <c r="O75" s="38"/>
      <c r="P75" s="75"/>
      <c r="Q75" s="23">
        <v>11.0</v>
      </c>
      <c r="R75" s="23">
        <v>36.6</v>
      </c>
      <c r="S75" s="51">
        <v>27.0</v>
      </c>
      <c r="T75" s="78" t="s">
        <v>24</v>
      </c>
      <c r="U75" s="79" t="s">
        <v>24</v>
      </c>
      <c r="V75" s="82"/>
      <c r="W75" s="82"/>
      <c r="X75" s="82"/>
      <c r="Y75" s="82"/>
      <c r="Z75" s="82"/>
      <c r="AA75" s="82"/>
    </row>
    <row r="76">
      <c r="B76" s="108"/>
      <c r="C76" s="95">
        <v>12.0</v>
      </c>
      <c r="D76" s="96">
        <v>38.5</v>
      </c>
      <c r="E76" s="96">
        <v>28.9</v>
      </c>
      <c r="F76" s="97" t="s">
        <v>30</v>
      </c>
      <c r="G76" s="82">
        <f>COUNTIF(F65:F85,"POSITIVE")</f>
        <v>12</v>
      </c>
      <c r="H76" s="13"/>
      <c r="I76" s="75"/>
      <c r="J76" s="23">
        <v>12.0</v>
      </c>
      <c r="K76" s="23">
        <v>36.6</v>
      </c>
      <c r="L76" s="23">
        <v>27.4</v>
      </c>
      <c r="M76" s="71" t="s">
        <v>24</v>
      </c>
      <c r="N76" s="82">
        <f>COUNTIF(M65:M85,"POSITIVE")</f>
        <v>19</v>
      </c>
      <c r="O76" s="38"/>
      <c r="P76" s="75"/>
      <c r="Q76" s="23">
        <v>12.0</v>
      </c>
      <c r="R76" s="23">
        <v>37.6</v>
      </c>
      <c r="S76" s="51">
        <v>27.0</v>
      </c>
      <c r="T76" s="78" t="s">
        <v>24</v>
      </c>
      <c r="U76" s="82">
        <f>COUNTIF(T65:T85,"POSITIVE")</f>
        <v>18</v>
      </c>
      <c r="V76" s="82"/>
      <c r="W76" s="82"/>
      <c r="X76" s="82"/>
      <c r="Y76" s="82"/>
      <c r="Z76" s="82"/>
      <c r="AA76" s="82"/>
    </row>
    <row r="77">
      <c r="B77" s="108"/>
      <c r="C77" s="23">
        <v>13.0</v>
      </c>
      <c r="D77" s="28">
        <v>36.3</v>
      </c>
      <c r="E77" s="28">
        <v>28.5</v>
      </c>
      <c r="F77" s="80" t="s">
        <v>24</v>
      </c>
      <c r="G77" s="82"/>
      <c r="H77" s="13"/>
      <c r="I77" s="75"/>
      <c r="J77" s="23">
        <v>13.0</v>
      </c>
      <c r="K77" s="23">
        <v>38.3</v>
      </c>
      <c r="L77" s="23">
        <v>27.5</v>
      </c>
      <c r="M77" s="71" t="s">
        <v>24</v>
      </c>
      <c r="N77" s="82"/>
      <c r="O77" s="38"/>
      <c r="P77" s="75"/>
      <c r="Q77" s="95">
        <v>13.0</v>
      </c>
      <c r="R77" s="95" t="s">
        <v>29</v>
      </c>
      <c r="S77" s="107">
        <v>27.0</v>
      </c>
      <c r="T77" s="98" t="s">
        <v>30</v>
      </c>
      <c r="U77" s="82"/>
      <c r="V77" s="82"/>
      <c r="W77" s="82"/>
      <c r="X77" s="82"/>
      <c r="Y77" s="82"/>
      <c r="Z77" s="82"/>
      <c r="AA77" s="82"/>
    </row>
    <row r="78">
      <c r="B78" s="108"/>
      <c r="C78" s="95">
        <v>14.0</v>
      </c>
      <c r="D78" s="96">
        <v>38.4</v>
      </c>
      <c r="E78" s="96">
        <v>30.1</v>
      </c>
      <c r="F78" s="97" t="s">
        <v>30</v>
      </c>
      <c r="G78" s="79" t="s">
        <v>30</v>
      </c>
      <c r="H78" s="13"/>
      <c r="I78" s="75"/>
      <c r="J78" s="23">
        <v>14.0</v>
      </c>
      <c r="K78" s="23">
        <v>38.2</v>
      </c>
      <c r="L78" s="23">
        <v>27.5</v>
      </c>
      <c r="M78" s="71" t="s">
        <v>24</v>
      </c>
      <c r="N78" s="79" t="s">
        <v>30</v>
      </c>
      <c r="O78" s="38"/>
      <c r="P78" s="75"/>
      <c r="Q78" s="23">
        <v>14.0</v>
      </c>
      <c r="R78" s="23">
        <v>38.6</v>
      </c>
      <c r="S78" s="51">
        <v>27.0</v>
      </c>
      <c r="T78" s="78" t="s">
        <v>24</v>
      </c>
      <c r="U78" s="79" t="s">
        <v>30</v>
      </c>
      <c r="V78" s="82"/>
      <c r="W78" s="82"/>
      <c r="X78" s="82"/>
      <c r="Y78" s="82"/>
      <c r="Z78" s="82"/>
      <c r="AA78" s="82"/>
    </row>
    <row r="79">
      <c r="B79" s="108"/>
      <c r="C79" s="23">
        <v>15.0</v>
      </c>
      <c r="D79" s="28">
        <v>37.6</v>
      </c>
      <c r="E79" s="28">
        <v>28.7</v>
      </c>
      <c r="F79" s="80" t="s">
        <v>24</v>
      </c>
      <c r="G79" s="82">
        <f>COUNTIF(F65:F85,"NEGATIVE")</f>
        <v>9</v>
      </c>
      <c r="H79" s="13"/>
      <c r="I79" s="75"/>
      <c r="J79" s="23">
        <v>15.0</v>
      </c>
      <c r="K79" s="23">
        <v>38.3</v>
      </c>
      <c r="L79" s="23">
        <v>27.6</v>
      </c>
      <c r="M79" s="71" t="s">
        <v>24</v>
      </c>
      <c r="N79" s="82">
        <f>COUNTIF(M65:M85,"NEGATIVE")</f>
        <v>2</v>
      </c>
      <c r="O79" s="38"/>
      <c r="P79" s="75"/>
      <c r="Q79" s="95">
        <v>15.0</v>
      </c>
      <c r="R79" s="95" t="s">
        <v>29</v>
      </c>
      <c r="S79" s="107">
        <v>27.0</v>
      </c>
      <c r="T79" s="98" t="s">
        <v>30</v>
      </c>
      <c r="U79" s="82">
        <f>COUNTIF(T65:T85,"NEGATIVE")</f>
        <v>3</v>
      </c>
      <c r="V79" s="82"/>
      <c r="W79" s="82"/>
      <c r="X79" s="82"/>
      <c r="Y79" s="82"/>
      <c r="Z79" s="82"/>
      <c r="AA79" s="82"/>
    </row>
    <row r="80">
      <c r="B80" s="108"/>
      <c r="C80" s="23">
        <v>16.0</v>
      </c>
      <c r="D80" s="28">
        <v>37.9</v>
      </c>
      <c r="E80" s="28">
        <v>28.7</v>
      </c>
      <c r="F80" s="80" t="s">
        <v>24</v>
      </c>
      <c r="G80" s="13"/>
      <c r="H80" s="13"/>
      <c r="I80" s="75"/>
      <c r="J80" s="23">
        <v>16.0</v>
      </c>
      <c r="K80" s="23">
        <v>39.2</v>
      </c>
      <c r="L80" s="23">
        <v>27.3</v>
      </c>
      <c r="M80" s="71" t="s">
        <v>24</v>
      </c>
      <c r="O80" s="38"/>
      <c r="P80" s="75"/>
      <c r="Q80" s="23">
        <v>16.0</v>
      </c>
      <c r="R80" s="23">
        <v>38.1</v>
      </c>
      <c r="S80" s="51">
        <v>26.9</v>
      </c>
      <c r="T80" s="78" t="s">
        <v>24</v>
      </c>
      <c r="U80" s="82"/>
      <c r="V80" s="82"/>
      <c r="W80" s="82"/>
      <c r="X80" s="82"/>
      <c r="Y80" s="82"/>
      <c r="Z80" s="82"/>
      <c r="AA80" s="82"/>
    </row>
    <row r="81">
      <c r="B81" s="108"/>
      <c r="C81" s="95">
        <v>17.0</v>
      </c>
      <c r="D81" s="96">
        <v>38.6</v>
      </c>
      <c r="E81" s="96">
        <v>29.0</v>
      </c>
      <c r="F81" s="97" t="s">
        <v>30</v>
      </c>
      <c r="G81" s="13"/>
      <c r="H81" s="13"/>
      <c r="I81" s="75"/>
      <c r="J81" s="23">
        <v>17.0</v>
      </c>
      <c r="K81" s="23">
        <v>39.2</v>
      </c>
      <c r="L81" s="23">
        <v>27.2</v>
      </c>
      <c r="M81" s="71" t="s">
        <v>24</v>
      </c>
      <c r="O81" s="38"/>
      <c r="P81" s="75"/>
      <c r="Q81" s="23">
        <v>17.0</v>
      </c>
      <c r="R81" s="23">
        <v>36.8</v>
      </c>
      <c r="S81" s="51">
        <v>26.9</v>
      </c>
      <c r="T81" s="78" t="s">
        <v>24</v>
      </c>
      <c r="U81" s="82"/>
      <c r="V81" s="82"/>
      <c r="W81" s="82"/>
      <c r="X81" s="82"/>
      <c r="Y81" s="82"/>
      <c r="Z81" s="82"/>
      <c r="AA81" s="82"/>
    </row>
    <row r="82">
      <c r="B82" s="108"/>
      <c r="C82" s="95">
        <v>18.0</v>
      </c>
      <c r="D82" s="96">
        <v>38.6</v>
      </c>
      <c r="E82" s="96">
        <v>28.9</v>
      </c>
      <c r="F82" s="97" t="s">
        <v>30</v>
      </c>
      <c r="G82" s="13"/>
      <c r="H82" s="13"/>
      <c r="I82" s="75"/>
      <c r="J82" s="23">
        <v>18.0</v>
      </c>
      <c r="K82" s="23">
        <v>37.6</v>
      </c>
      <c r="L82" s="23">
        <v>27.3</v>
      </c>
      <c r="M82" s="71" t="s">
        <v>24</v>
      </c>
      <c r="O82" s="38"/>
      <c r="P82" s="75"/>
      <c r="Q82" s="23">
        <v>18.0</v>
      </c>
      <c r="R82" s="23">
        <v>38.7</v>
      </c>
      <c r="S82" s="51">
        <v>27.0</v>
      </c>
      <c r="T82" s="78" t="s">
        <v>24</v>
      </c>
      <c r="U82" s="82"/>
      <c r="V82" s="82"/>
      <c r="W82" s="82"/>
      <c r="X82" s="82"/>
      <c r="Y82" s="82"/>
      <c r="Z82" s="82"/>
      <c r="AA82" s="82"/>
    </row>
    <row r="83">
      <c r="B83" s="108"/>
      <c r="C83" s="23">
        <v>19.0</v>
      </c>
      <c r="D83" s="28">
        <v>35.7</v>
      </c>
      <c r="E83" s="28">
        <v>28.6</v>
      </c>
      <c r="F83" s="80" t="s">
        <v>24</v>
      </c>
      <c r="G83" s="13"/>
      <c r="H83" s="13"/>
      <c r="I83" s="75"/>
      <c r="J83" s="23">
        <v>19.0</v>
      </c>
      <c r="K83" s="23">
        <v>37.6</v>
      </c>
      <c r="L83" s="23">
        <v>27.4</v>
      </c>
      <c r="M83" s="71" t="s">
        <v>24</v>
      </c>
      <c r="O83" s="38"/>
      <c r="P83" s="75"/>
      <c r="Q83" s="23">
        <v>19.0</v>
      </c>
      <c r="R83" s="23">
        <v>37.5</v>
      </c>
      <c r="S83" s="51">
        <v>26.9</v>
      </c>
      <c r="T83" s="78" t="s">
        <v>24</v>
      </c>
      <c r="U83" s="82"/>
      <c r="V83" s="82"/>
      <c r="W83" s="82"/>
      <c r="X83" s="82"/>
      <c r="Y83" s="82"/>
      <c r="Z83" s="82"/>
      <c r="AA83" s="82"/>
    </row>
    <row r="84">
      <c r="B84" s="108"/>
      <c r="C84" s="95">
        <v>20.0</v>
      </c>
      <c r="D84" s="96" t="s">
        <v>29</v>
      </c>
      <c r="E84" s="96">
        <v>29.1</v>
      </c>
      <c r="F84" s="97" t="s">
        <v>30</v>
      </c>
      <c r="G84" s="13"/>
      <c r="H84" s="13"/>
      <c r="I84" s="75"/>
      <c r="J84" s="23">
        <v>20.0</v>
      </c>
      <c r="K84" s="23">
        <v>38.7</v>
      </c>
      <c r="L84" s="23">
        <v>27.1</v>
      </c>
      <c r="M84" s="71" t="s">
        <v>24</v>
      </c>
      <c r="O84" s="38"/>
      <c r="P84" s="75"/>
      <c r="Q84" s="23">
        <v>20.0</v>
      </c>
      <c r="R84" s="23">
        <v>38.8</v>
      </c>
      <c r="S84" s="51">
        <v>26.9</v>
      </c>
      <c r="T84" s="78" t="s">
        <v>24</v>
      </c>
      <c r="U84" s="82"/>
      <c r="V84" s="82"/>
      <c r="W84" s="82"/>
      <c r="X84" s="82"/>
      <c r="Y84" s="82"/>
      <c r="Z84" s="82"/>
      <c r="AA84" s="82"/>
    </row>
    <row r="85">
      <c r="B85" s="109"/>
      <c r="C85" s="110">
        <v>21.0</v>
      </c>
      <c r="D85" s="111">
        <v>38.6</v>
      </c>
      <c r="E85" s="111">
        <v>28.9</v>
      </c>
      <c r="F85" s="97" t="s">
        <v>30</v>
      </c>
      <c r="G85" s="13"/>
      <c r="H85" s="13"/>
      <c r="I85" s="83"/>
      <c r="J85" s="84">
        <v>21.0</v>
      </c>
      <c r="K85" s="84">
        <v>37.8</v>
      </c>
      <c r="L85" s="84">
        <v>27.2</v>
      </c>
      <c r="M85" s="71" t="s">
        <v>24</v>
      </c>
      <c r="O85" s="38"/>
      <c r="P85" s="83"/>
      <c r="Q85" s="84">
        <v>21.0</v>
      </c>
      <c r="R85" s="84">
        <v>37.7</v>
      </c>
      <c r="S85" s="85">
        <v>27.0</v>
      </c>
      <c r="T85" s="78" t="s">
        <v>24</v>
      </c>
      <c r="U85" s="82"/>
      <c r="V85" s="82"/>
      <c r="W85" s="82"/>
      <c r="X85" s="82"/>
      <c r="Y85" s="82"/>
      <c r="Z85" s="82"/>
      <c r="AA85" s="82"/>
    </row>
    <row r="86">
      <c r="B86" s="112">
        <v>0.0</v>
      </c>
      <c r="C86" s="113">
        <v>1.0</v>
      </c>
      <c r="D86" s="73" t="s">
        <v>29</v>
      </c>
      <c r="E86" s="73">
        <v>28.644119</v>
      </c>
      <c r="F86" s="114" t="s">
        <v>30</v>
      </c>
      <c r="G86" s="13"/>
      <c r="H86" s="13"/>
      <c r="I86" s="115">
        <v>0.0</v>
      </c>
      <c r="J86" s="66">
        <v>1.0</v>
      </c>
      <c r="K86" s="66" t="s">
        <v>29</v>
      </c>
      <c r="L86" s="66">
        <v>27.4</v>
      </c>
      <c r="M86" s="116" t="s">
        <v>30</v>
      </c>
      <c r="O86" s="38"/>
      <c r="P86" s="115">
        <v>0.0</v>
      </c>
      <c r="Q86" s="66">
        <v>1.0</v>
      </c>
      <c r="R86" s="66" t="s">
        <v>29</v>
      </c>
      <c r="S86" s="73">
        <v>27.0</v>
      </c>
      <c r="T86" s="116" t="s">
        <v>30</v>
      </c>
      <c r="U86" s="82"/>
      <c r="V86" s="82"/>
      <c r="W86" s="82"/>
      <c r="X86" s="82"/>
      <c r="Y86" s="82"/>
      <c r="Z86" s="82"/>
      <c r="AA86" s="82"/>
    </row>
    <row r="87">
      <c r="B87" s="117"/>
      <c r="C87" s="118">
        <v>2.0</v>
      </c>
      <c r="D87" s="51" t="s">
        <v>29</v>
      </c>
      <c r="E87" s="51">
        <v>28.623139</v>
      </c>
      <c r="F87" s="119" t="s">
        <v>30</v>
      </c>
      <c r="G87" s="13"/>
      <c r="H87" s="13"/>
      <c r="I87" s="75"/>
      <c r="J87" s="23">
        <v>2.0</v>
      </c>
      <c r="K87" s="23" t="s">
        <v>29</v>
      </c>
      <c r="L87" s="23">
        <v>27.3</v>
      </c>
      <c r="M87" s="78" t="s">
        <v>30</v>
      </c>
      <c r="O87" s="38"/>
      <c r="P87" s="75"/>
      <c r="Q87" s="23">
        <v>2.0</v>
      </c>
      <c r="R87" s="23" t="s">
        <v>29</v>
      </c>
      <c r="S87" s="51">
        <v>27.4</v>
      </c>
      <c r="T87" s="78" t="s">
        <v>30</v>
      </c>
      <c r="U87" s="82"/>
      <c r="V87" s="82"/>
      <c r="W87" s="82"/>
      <c r="X87" s="82"/>
      <c r="Y87" s="82"/>
      <c r="Z87" s="82"/>
      <c r="AA87" s="82"/>
    </row>
    <row r="88">
      <c r="B88" s="120"/>
      <c r="C88" s="121">
        <v>3.0</v>
      </c>
      <c r="D88" s="85" t="s">
        <v>29</v>
      </c>
      <c r="E88" s="85">
        <v>28.458992</v>
      </c>
      <c r="F88" s="122" t="s">
        <v>30</v>
      </c>
      <c r="G88" s="13"/>
      <c r="H88" s="13"/>
      <c r="I88" s="83"/>
      <c r="J88" s="84">
        <v>3.0</v>
      </c>
      <c r="K88" s="84">
        <v>38.1</v>
      </c>
      <c r="L88" s="84">
        <v>27.5</v>
      </c>
      <c r="M88" s="123" t="s">
        <v>24</v>
      </c>
      <c r="O88" s="38"/>
      <c r="P88" s="83"/>
      <c r="Q88" s="84">
        <v>3.0</v>
      </c>
      <c r="R88" s="84" t="s">
        <v>29</v>
      </c>
      <c r="S88" s="85">
        <v>26.9</v>
      </c>
      <c r="T88" s="89" t="s">
        <v>30</v>
      </c>
      <c r="U88" s="82"/>
      <c r="V88" s="82"/>
      <c r="W88" s="82"/>
      <c r="X88" s="82"/>
      <c r="Y88" s="82"/>
      <c r="Z88" s="82"/>
      <c r="AA88" s="82"/>
    </row>
    <row r="89">
      <c r="B89" s="124" t="s">
        <v>10</v>
      </c>
      <c r="C89" s="36">
        <v>1.0</v>
      </c>
      <c r="D89" s="93" t="s">
        <v>29</v>
      </c>
      <c r="E89" s="93" t="s">
        <v>29</v>
      </c>
      <c r="F89" s="125" t="s">
        <v>30</v>
      </c>
      <c r="G89" s="13"/>
      <c r="H89" s="13"/>
      <c r="I89" s="126" t="s">
        <v>10</v>
      </c>
      <c r="J89" s="66">
        <v>1.0</v>
      </c>
      <c r="K89" s="66" t="s">
        <v>29</v>
      </c>
      <c r="L89" s="66" t="s">
        <v>29</v>
      </c>
      <c r="M89" s="116" t="s">
        <v>30</v>
      </c>
      <c r="O89" s="38"/>
      <c r="P89" s="126" t="s">
        <v>10</v>
      </c>
      <c r="Q89" s="66">
        <v>1.0</v>
      </c>
      <c r="R89" s="66" t="s">
        <v>29</v>
      </c>
      <c r="S89" s="66" t="s">
        <v>29</v>
      </c>
      <c r="T89" s="116" t="s">
        <v>30</v>
      </c>
      <c r="U89" s="82"/>
      <c r="V89" s="82"/>
      <c r="W89" s="82"/>
      <c r="X89" s="82"/>
      <c r="Y89" s="82"/>
      <c r="Z89" s="82"/>
      <c r="AA89" s="82"/>
    </row>
    <row r="90">
      <c r="B90" s="127"/>
      <c r="C90" s="118">
        <v>2.0</v>
      </c>
      <c r="D90" s="51" t="s">
        <v>29</v>
      </c>
      <c r="E90" s="51" t="s">
        <v>29</v>
      </c>
      <c r="F90" s="119" t="s">
        <v>30</v>
      </c>
      <c r="G90" s="13"/>
      <c r="H90" s="13"/>
      <c r="I90" s="75"/>
      <c r="J90" s="23">
        <v>2.0</v>
      </c>
      <c r="K90" s="23" t="s">
        <v>29</v>
      </c>
      <c r="L90" s="23" t="s">
        <v>29</v>
      </c>
      <c r="M90" s="78" t="s">
        <v>30</v>
      </c>
      <c r="O90" s="38"/>
      <c r="P90" s="75"/>
      <c r="Q90" s="23">
        <v>2.0</v>
      </c>
      <c r="R90" s="23" t="s">
        <v>29</v>
      </c>
      <c r="S90" s="23" t="s">
        <v>29</v>
      </c>
      <c r="T90" s="78" t="s">
        <v>30</v>
      </c>
      <c r="U90" s="82"/>
      <c r="V90" s="82"/>
      <c r="W90" s="82"/>
      <c r="X90" s="82"/>
      <c r="Y90" s="82"/>
      <c r="Z90" s="82"/>
      <c r="AA90" s="82"/>
    </row>
    <row r="91">
      <c r="B91" s="117"/>
      <c r="C91" s="35">
        <v>3.0</v>
      </c>
      <c r="D91" s="51" t="s">
        <v>29</v>
      </c>
      <c r="E91" s="51" t="s">
        <v>29</v>
      </c>
      <c r="F91" s="119" t="s">
        <v>30</v>
      </c>
      <c r="I91" s="75"/>
      <c r="J91" s="23">
        <v>3.0</v>
      </c>
      <c r="K91" s="23" t="s">
        <v>29</v>
      </c>
      <c r="L91" s="23" t="s">
        <v>29</v>
      </c>
      <c r="M91" s="78" t="s">
        <v>30</v>
      </c>
      <c r="O91" s="38"/>
      <c r="P91" s="75"/>
      <c r="Q91" s="23">
        <v>3.0</v>
      </c>
      <c r="R91" s="23" t="s">
        <v>29</v>
      </c>
      <c r="S91" s="23" t="s">
        <v>29</v>
      </c>
      <c r="T91" s="78" t="s">
        <v>30</v>
      </c>
      <c r="U91" s="82"/>
      <c r="V91" s="82"/>
      <c r="W91" s="82"/>
      <c r="X91" s="82"/>
      <c r="Y91" s="82"/>
      <c r="Z91" s="82"/>
      <c r="AA91" s="82"/>
    </row>
    <row r="92">
      <c r="B92" s="128"/>
      <c r="C92" s="35">
        <v>4.0</v>
      </c>
      <c r="D92" s="51" t="s">
        <v>29</v>
      </c>
      <c r="E92" s="51" t="s">
        <v>29</v>
      </c>
      <c r="F92" s="119" t="s">
        <v>30</v>
      </c>
      <c r="I92" s="75"/>
      <c r="J92" s="23">
        <v>4.0</v>
      </c>
      <c r="K92" s="23" t="s">
        <v>29</v>
      </c>
      <c r="L92" s="23">
        <v>40.5</v>
      </c>
      <c r="M92" s="78" t="s">
        <v>30</v>
      </c>
      <c r="O92" s="38"/>
      <c r="P92" s="75"/>
      <c r="Q92" s="23">
        <v>4.0</v>
      </c>
      <c r="R92" s="23" t="s">
        <v>29</v>
      </c>
      <c r="S92" s="23" t="s">
        <v>29</v>
      </c>
      <c r="T92" s="78" t="s">
        <v>30</v>
      </c>
      <c r="U92" s="82"/>
      <c r="V92" s="82"/>
      <c r="W92" s="82"/>
      <c r="X92" s="82"/>
      <c r="Y92" s="82"/>
      <c r="Z92" s="82"/>
      <c r="AA92" s="82"/>
    </row>
    <row r="93">
      <c r="B93" s="129"/>
      <c r="C93" s="121">
        <v>5.0</v>
      </c>
      <c r="D93" s="85" t="s">
        <v>29</v>
      </c>
      <c r="E93" s="85" t="s">
        <v>29</v>
      </c>
      <c r="F93" s="122" t="s">
        <v>30</v>
      </c>
      <c r="I93" s="83"/>
      <c r="J93" s="84">
        <v>5.0</v>
      </c>
      <c r="K93" s="84" t="s">
        <v>29</v>
      </c>
      <c r="L93" s="84">
        <v>41.2</v>
      </c>
      <c r="M93" s="89" t="s">
        <v>30</v>
      </c>
      <c r="O93" s="38"/>
      <c r="P93" s="83"/>
      <c r="Q93" s="84">
        <v>5.0</v>
      </c>
      <c r="R93" s="84" t="s">
        <v>29</v>
      </c>
      <c r="S93" s="84" t="s">
        <v>29</v>
      </c>
      <c r="T93" s="89" t="s">
        <v>30</v>
      </c>
      <c r="U93" s="82"/>
      <c r="V93" s="82"/>
      <c r="W93" s="82"/>
      <c r="X93" s="82"/>
      <c r="Y93" s="82"/>
      <c r="Z93" s="82"/>
      <c r="AA93" s="82"/>
    </row>
    <row r="94">
      <c r="B94" s="130" t="s">
        <v>11</v>
      </c>
      <c r="C94" s="131">
        <v>1.0</v>
      </c>
      <c r="D94" s="132">
        <v>31.017973</v>
      </c>
      <c r="E94" s="132">
        <v>31.393903</v>
      </c>
      <c r="F94" s="133" t="s">
        <v>24</v>
      </c>
      <c r="I94" s="134" t="s">
        <v>11</v>
      </c>
      <c r="J94" s="135">
        <v>1.0</v>
      </c>
      <c r="K94" s="135">
        <v>31.1</v>
      </c>
      <c r="L94" s="135">
        <v>31.2</v>
      </c>
      <c r="M94" s="136" t="s">
        <v>24</v>
      </c>
      <c r="O94" s="38"/>
      <c r="P94" s="134" t="s">
        <v>11</v>
      </c>
      <c r="Q94" s="135">
        <v>1.0</v>
      </c>
      <c r="R94" s="135">
        <v>30.5</v>
      </c>
      <c r="S94" s="137">
        <v>31.0</v>
      </c>
      <c r="T94" s="136" t="s">
        <v>24</v>
      </c>
      <c r="U94" s="82"/>
      <c r="V94" s="82"/>
      <c r="W94" s="82"/>
      <c r="X94" s="82"/>
      <c r="Y94" s="82"/>
      <c r="Z94" s="82"/>
      <c r="AA94" s="82"/>
    </row>
    <row r="95">
      <c r="J95" s="138"/>
      <c r="K95" s="139"/>
      <c r="L95" s="139"/>
      <c r="S95" s="37"/>
      <c r="T95" s="37"/>
      <c r="U95" s="38"/>
    </row>
    <row r="96">
      <c r="J96" s="138"/>
      <c r="K96" s="139"/>
      <c r="L96" s="52"/>
      <c r="S96" s="37"/>
      <c r="T96" s="37"/>
      <c r="U96" s="38"/>
    </row>
    <row r="97">
      <c r="J97" s="138"/>
      <c r="K97" s="139"/>
      <c r="L97" s="52"/>
      <c r="S97" s="37"/>
      <c r="T97" s="37"/>
      <c r="U97" s="38"/>
    </row>
    <row r="98">
      <c r="J98" s="138"/>
      <c r="K98" s="139"/>
      <c r="L98" s="52"/>
      <c r="S98" s="37"/>
      <c r="T98" s="37"/>
      <c r="U98" s="38"/>
    </row>
    <row r="99">
      <c r="J99" s="138"/>
      <c r="K99" s="139"/>
      <c r="L99" s="52"/>
      <c r="S99" s="37"/>
      <c r="T99" s="37"/>
      <c r="U99" s="38"/>
    </row>
    <row r="100">
      <c r="J100" s="138"/>
      <c r="K100" s="37"/>
      <c r="L100" s="5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17.88"/>
    <col customWidth="1" min="4" max="4" width="16.38"/>
    <col customWidth="1" min="5" max="5" width="15.38"/>
    <col customWidth="1" min="6" max="6" width="16.63"/>
    <col customWidth="1" min="7" max="7" width="15.75"/>
    <col customWidth="1" min="8" max="8" width="17.5"/>
    <col customWidth="1" min="9" max="9" width="17.25"/>
    <col customWidth="1" min="10" max="10" width="15.63"/>
    <col customWidth="1" min="11" max="12" width="16.13"/>
    <col customWidth="1" min="13" max="13" width="15.25"/>
    <col customWidth="1" min="14" max="14" width="22.13"/>
    <col customWidth="1" min="15" max="15" width="14.63"/>
  </cols>
  <sheetData>
    <row r="1">
      <c r="A1" s="1" t="s">
        <v>45</v>
      </c>
    </row>
    <row r="3">
      <c r="B3" s="2" t="s">
        <v>1</v>
      </c>
      <c r="C3" s="140"/>
      <c r="D3" s="141"/>
      <c r="E3" s="142"/>
      <c r="F3" s="140"/>
      <c r="G3" s="141"/>
      <c r="H3" s="142"/>
    </row>
    <row r="4">
      <c r="B4" s="4"/>
      <c r="C4" s="5">
        <v>1.0</v>
      </c>
      <c r="D4" s="5">
        <v>2.0</v>
      </c>
      <c r="E4" s="5">
        <v>3.0</v>
      </c>
      <c r="F4" s="5">
        <v>4.0</v>
      </c>
      <c r="G4" s="5">
        <v>5.0</v>
      </c>
      <c r="H4" s="5">
        <v>6.0</v>
      </c>
    </row>
    <row r="5">
      <c r="B5" s="6" t="s">
        <v>2</v>
      </c>
      <c r="C5" s="143" t="s">
        <v>46</v>
      </c>
      <c r="D5" s="144" t="s">
        <v>46</v>
      </c>
      <c r="E5" s="144" t="s">
        <v>46</v>
      </c>
      <c r="F5" s="144" t="s">
        <v>47</v>
      </c>
      <c r="G5" s="144" t="s">
        <v>47</v>
      </c>
      <c r="H5" s="144" t="s">
        <v>47</v>
      </c>
    </row>
    <row r="6">
      <c r="B6" s="6" t="s">
        <v>3</v>
      </c>
      <c r="C6" s="144" t="s">
        <v>48</v>
      </c>
      <c r="D6" s="144" t="s">
        <v>48</v>
      </c>
      <c r="E6" s="144" t="s">
        <v>48</v>
      </c>
      <c r="F6" s="144" t="s">
        <v>49</v>
      </c>
      <c r="G6" s="144" t="s">
        <v>49</v>
      </c>
      <c r="H6" s="144" t="s">
        <v>49</v>
      </c>
    </row>
    <row r="7">
      <c r="B7" s="6" t="s">
        <v>4</v>
      </c>
      <c r="C7" s="144" t="s">
        <v>50</v>
      </c>
      <c r="D7" s="144" t="s">
        <v>50</v>
      </c>
      <c r="E7" s="144" t="s">
        <v>50</v>
      </c>
      <c r="F7" s="145" t="s">
        <v>51</v>
      </c>
      <c r="G7" s="145" t="s">
        <v>51</v>
      </c>
      <c r="H7" s="145" t="s">
        <v>51</v>
      </c>
    </row>
    <row r="8">
      <c r="B8" s="6" t="s">
        <v>5</v>
      </c>
      <c r="C8" s="144" t="s">
        <v>52</v>
      </c>
      <c r="D8" s="144" t="s">
        <v>52</v>
      </c>
      <c r="E8" s="144" t="s">
        <v>52</v>
      </c>
      <c r="F8" s="146" t="s">
        <v>53</v>
      </c>
      <c r="G8" s="146" t="s">
        <v>53</v>
      </c>
      <c r="H8" s="146" t="s">
        <v>53</v>
      </c>
    </row>
    <row r="9">
      <c r="B9" s="6" t="s">
        <v>6</v>
      </c>
      <c r="C9" s="144" t="s">
        <v>54</v>
      </c>
      <c r="D9" s="144" t="s">
        <v>54</v>
      </c>
      <c r="E9" s="144" t="s">
        <v>54</v>
      </c>
      <c r="F9" s="145" t="s">
        <v>10</v>
      </c>
      <c r="G9" s="147" t="s">
        <v>11</v>
      </c>
      <c r="H9" s="147" t="s">
        <v>11</v>
      </c>
    </row>
    <row r="10">
      <c r="B10" s="6" t="s">
        <v>7</v>
      </c>
      <c r="C10" s="144" t="s">
        <v>55</v>
      </c>
      <c r="D10" s="144" t="s">
        <v>55</v>
      </c>
      <c r="E10" s="144" t="s">
        <v>55</v>
      </c>
      <c r="F10" s="146"/>
      <c r="G10" s="146"/>
      <c r="H10" s="146"/>
      <c r="I10" s="148"/>
      <c r="J10" s="82"/>
      <c r="K10" s="82"/>
      <c r="L10" s="82"/>
    </row>
    <row r="11">
      <c r="B11" s="6" t="s">
        <v>8</v>
      </c>
      <c r="C11" s="149" t="s">
        <v>56</v>
      </c>
      <c r="D11" s="149" t="s">
        <v>56</v>
      </c>
      <c r="E11" s="149" t="s">
        <v>56</v>
      </c>
      <c r="F11" s="150"/>
      <c r="G11" s="150"/>
      <c r="H11" s="150"/>
      <c r="I11" s="148"/>
      <c r="J11" s="82"/>
      <c r="K11" s="82"/>
      <c r="L11" s="82"/>
    </row>
    <row r="12">
      <c r="B12" s="6" t="s">
        <v>9</v>
      </c>
      <c r="C12" s="149" t="s">
        <v>57</v>
      </c>
      <c r="D12" s="149" t="s">
        <v>57</v>
      </c>
      <c r="E12" s="149" t="s">
        <v>57</v>
      </c>
      <c r="F12" s="150"/>
      <c r="G12" s="150"/>
      <c r="H12" s="150"/>
      <c r="I12" s="148"/>
      <c r="J12" s="82"/>
      <c r="K12" s="82"/>
      <c r="L12" s="82"/>
    </row>
    <row r="13">
      <c r="F13" s="148"/>
      <c r="G13" s="151"/>
      <c r="H13" s="151"/>
      <c r="I13" s="148"/>
      <c r="J13" s="82"/>
      <c r="K13" s="82"/>
      <c r="L13" s="82"/>
    </row>
    <row r="14">
      <c r="B14" s="2" t="s">
        <v>58</v>
      </c>
      <c r="F14" s="148"/>
      <c r="G14" s="148"/>
      <c r="H14" s="148"/>
      <c r="I14" s="148"/>
      <c r="J14" s="148"/>
      <c r="K14" s="148"/>
    </row>
    <row r="15">
      <c r="B15" s="152" t="s">
        <v>59</v>
      </c>
      <c r="C15" s="152" t="s">
        <v>60</v>
      </c>
      <c r="D15" s="153" t="s">
        <v>61</v>
      </c>
      <c r="E15" s="152" t="s">
        <v>62</v>
      </c>
      <c r="F15" s="154" t="s">
        <v>63</v>
      </c>
      <c r="G15" s="142"/>
      <c r="H15" s="154" t="s">
        <v>64</v>
      </c>
      <c r="I15" s="142"/>
      <c r="J15" s="154" t="s">
        <v>65</v>
      </c>
      <c r="K15" s="142"/>
      <c r="L15" s="154" t="s">
        <v>66</v>
      </c>
      <c r="M15" s="142"/>
      <c r="N15" s="155" t="s">
        <v>67</v>
      </c>
      <c r="O15" s="142"/>
    </row>
    <row r="16">
      <c r="B16" s="156"/>
      <c r="C16" s="156"/>
      <c r="D16" s="156"/>
      <c r="E16" s="156"/>
      <c r="F16" s="157" t="s">
        <v>68</v>
      </c>
      <c r="G16" s="16" t="s">
        <v>69</v>
      </c>
      <c r="H16" s="157" t="s">
        <v>68</v>
      </c>
      <c r="I16" s="16" t="s">
        <v>69</v>
      </c>
      <c r="J16" s="157" t="s">
        <v>68</v>
      </c>
      <c r="K16" s="16" t="s">
        <v>69</v>
      </c>
      <c r="L16" s="157" t="s">
        <v>68</v>
      </c>
      <c r="M16" s="16" t="s">
        <v>69</v>
      </c>
      <c r="N16" s="22" t="s">
        <v>70</v>
      </c>
      <c r="O16" s="22" t="s">
        <v>71</v>
      </c>
    </row>
    <row r="17" ht="45.0" customHeight="1">
      <c r="B17" s="24" t="s">
        <v>48</v>
      </c>
      <c r="C17" s="23" t="s">
        <v>72</v>
      </c>
      <c r="D17" s="24" t="s">
        <v>27</v>
      </c>
      <c r="E17" s="24" t="s">
        <v>73</v>
      </c>
      <c r="F17" s="28">
        <f>AVERAGE(F26:F28)</f>
        <v>36.43027696</v>
      </c>
      <c r="G17" s="28">
        <f>STDEV(F26:F28)</f>
        <v>0.3505456012</v>
      </c>
      <c r="H17" s="24" t="s">
        <v>29</v>
      </c>
      <c r="I17" s="24" t="s">
        <v>74</v>
      </c>
      <c r="J17" s="28">
        <f>AVERAGE(G26:G28)</f>
        <v>32.5</v>
      </c>
      <c r="K17" s="28">
        <f>STDEV(G26:G28)</f>
        <v>0.1</v>
      </c>
      <c r="L17" s="28">
        <f>AVERAGE(G29:G31)</f>
        <v>29.46666667</v>
      </c>
      <c r="M17" s="28">
        <f>STDEV(G29:G31)</f>
        <v>0.1527525232</v>
      </c>
      <c r="N17" s="158" t="s">
        <v>25</v>
      </c>
      <c r="O17" s="158" t="s">
        <v>25</v>
      </c>
    </row>
    <row r="18" ht="45.0" customHeight="1">
      <c r="B18" s="24" t="s">
        <v>75</v>
      </c>
      <c r="C18" s="24" t="s">
        <v>76</v>
      </c>
      <c r="D18" s="24" t="s">
        <v>77</v>
      </c>
      <c r="E18" s="24" t="s">
        <v>78</v>
      </c>
      <c r="F18" s="28">
        <f>AVERAGE(F32:F34)</f>
        <v>37.19159474</v>
      </c>
      <c r="G18" s="28">
        <f>STDEV(F32:F34)</f>
        <v>0.5191208257</v>
      </c>
      <c r="H18" s="24" t="s">
        <v>29</v>
      </c>
      <c r="I18" s="24" t="s">
        <v>74</v>
      </c>
      <c r="J18" s="28">
        <f>AVERAGE(G32:G34)</f>
        <v>31.8</v>
      </c>
      <c r="K18" s="28">
        <f>STDEV(G32:G34)</f>
        <v>0.2</v>
      </c>
      <c r="L18" s="28">
        <f>AVERAGE(G35:G37)</f>
        <v>28.8</v>
      </c>
      <c r="M18" s="28">
        <f>STDEV(G35:G37)</f>
        <v>0.3605551275</v>
      </c>
      <c r="N18" s="158" t="s">
        <v>25</v>
      </c>
      <c r="O18" s="158" t="s">
        <v>25</v>
      </c>
    </row>
    <row r="19" ht="45.0" customHeight="1">
      <c r="B19" s="24" t="s">
        <v>52</v>
      </c>
      <c r="C19" s="24" t="s">
        <v>79</v>
      </c>
      <c r="D19" s="24" t="s">
        <v>80</v>
      </c>
      <c r="E19" s="24" t="s">
        <v>81</v>
      </c>
      <c r="F19" s="28">
        <f>AVERAGE(F38:F40)</f>
        <v>37.2001952</v>
      </c>
      <c r="G19" s="28">
        <f>STDEV(F38:F40)</f>
        <v>0.4756321873</v>
      </c>
      <c r="H19" s="24" t="s">
        <v>29</v>
      </c>
      <c r="I19" s="24" t="s">
        <v>74</v>
      </c>
      <c r="J19" s="28">
        <f>AVERAGE(G38:G40)</f>
        <v>30.13333333</v>
      </c>
      <c r="K19" s="28">
        <f>STDEV(G38:G40)</f>
        <v>0.1527525232</v>
      </c>
      <c r="L19" s="28">
        <f>AVERAGE(G41:G43)</f>
        <v>30</v>
      </c>
      <c r="M19" s="28">
        <f>STDEV(G41:G43)</f>
        <v>0</v>
      </c>
      <c r="N19" s="158" t="s">
        <v>25</v>
      </c>
      <c r="O19" s="158" t="s">
        <v>25</v>
      </c>
    </row>
    <row r="20" ht="45.0" customHeight="1">
      <c r="B20" s="24" t="s">
        <v>55</v>
      </c>
      <c r="C20" s="23" t="s">
        <v>82</v>
      </c>
      <c r="D20" s="24" t="s">
        <v>83</v>
      </c>
      <c r="E20" s="24" t="s">
        <v>84</v>
      </c>
      <c r="F20" s="28">
        <f>AVERAGE(F44:F46)</f>
        <v>36.00195668</v>
      </c>
      <c r="G20" s="28">
        <f>STDEV(F44:F46)</f>
        <v>0.376011074</v>
      </c>
      <c r="H20" s="24" t="s">
        <v>29</v>
      </c>
      <c r="I20" s="24" t="s">
        <v>74</v>
      </c>
      <c r="J20" s="28">
        <f>AVERAGE(G44:G46)</f>
        <v>30.86666667</v>
      </c>
      <c r="K20" s="28">
        <f>STDEV(G44:G46)</f>
        <v>0.2516611478</v>
      </c>
      <c r="L20" s="28">
        <f>AVERAGE(G47:G49)</f>
        <v>27.86666667</v>
      </c>
      <c r="M20" s="28">
        <f>STDEV(G47:G49)</f>
        <v>0.1154700538</v>
      </c>
      <c r="N20" s="158" t="s">
        <v>25</v>
      </c>
      <c r="O20" s="158" t="s">
        <v>25</v>
      </c>
    </row>
    <row r="21" ht="45.0" customHeight="1">
      <c r="B21" s="24" t="s">
        <v>85</v>
      </c>
      <c r="C21" s="23" t="s">
        <v>86</v>
      </c>
      <c r="D21" s="24" t="s">
        <v>27</v>
      </c>
      <c r="E21" s="24" t="s">
        <v>87</v>
      </c>
      <c r="F21" s="28">
        <f>AVERAGE(F50:F52)</f>
        <v>35.81655973</v>
      </c>
      <c r="G21" s="28">
        <f>STDEV(F50:F52)</f>
        <v>0.1463176281</v>
      </c>
      <c r="H21" s="24" t="s">
        <v>29</v>
      </c>
      <c r="I21" s="24" t="s">
        <v>74</v>
      </c>
      <c r="J21" s="28">
        <f>AVERAGE(G50:G52)</f>
        <v>33.1</v>
      </c>
      <c r="K21" s="28">
        <f>STDEV(G50:G52)</f>
        <v>0.1732050808</v>
      </c>
      <c r="L21" s="28">
        <f>AVERAGE(G53:G55)</f>
        <v>31.26666667</v>
      </c>
      <c r="M21" s="28">
        <f>STDEV(G53:G55)</f>
        <v>0.1154700538</v>
      </c>
      <c r="N21" s="158" t="s">
        <v>25</v>
      </c>
      <c r="O21" s="158" t="s">
        <v>25</v>
      </c>
    </row>
    <row r="22">
      <c r="F22" s="148"/>
      <c r="G22" s="148"/>
      <c r="H22" s="148"/>
      <c r="I22" s="148"/>
      <c r="J22" s="148"/>
      <c r="K22" s="148"/>
    </row>
    <row r="23">
      <c r="F23" s="148"/>
      <c r="G23" s="148"/>
      <c r="H23" s="148"/>
      <c r="I23" s="148"/>
      <c r="J23" s="148"/>
      <c r="K23" s="148"/>
    </row>
    <row r="24">
      <c r="B24" s="2" t="s">
        <v>12</v>
      </c>
      <c r="F24" s="148"/>
      <c r="G24" s="148"/>
      <c r="H24" s="148"/>
      <c r="I24" s="148"/>
      <c r="J24" s="148"/>
      <c r="K24" s="148"/>
    </row>
    <row r="25">
      <c r="B25" s="159" t="s">
        <v>59</v>
      </c>
      <c r="C25" s="160" t="s">
        <v>60</v>
      </c>
      <c r="D25" s="161" t="s">
        <v>88</v>
      </c>
      <c r="E25" s="17" t="s">
        <v>15</v>
      </c>
      <c r="F25" s="18" t="s">
        <v>16</v>
      </c>
      <c r="G25" s="161" t="s">
        <v>17</v>
      </c>
      <c r="H25" s="46" t="s">
        <v>18</v>
      </c>
      <c r="I25" s="148"/>
      <c r="J25" s="148"/>
      <c r="K25" s="162"/>
      <c r="L25" s="162"/>
      <c r="M25" s="162"/>
    </row>
    <row r="26">
      <c r="B26" s="24" t="s">
        <v>46</v>
      </c>
      <c r="C26" s="23" t="s">
        <v>72</v>
      </c>
      <c r="D26" s="24" t="s">
        <v>89</v>
      </c>
      <c r="E26" s="23">
        <v>1.0</v>
      </c>
      <c r="F26" s="28">
        <v>36.157279528165404</v>
      </c>
      <c r="G26" s="28">
        <v>32.5</v>
      </c>
      <c r="H26" s="36" t="s">
        <v>24</v>
      </c>
      <c r="I26" s="148"/>
      <c r="J26" s="148"/>
      <c r="K26" s="138"/>
      <c r="L26" s="37"/>
      <c r="M26" s="163"/>
    </row>
    <row r="27">
      <c r="B27" s="164"/>
      <c r="C27" s="30"/>
      <c r="D27" s="23"/>
      <c r="E27" s="23">
        <v>2.0</v>
      </c>
      <c r="F27" s="28">
        <v>36.825593216137875</v>
      </c>
      <c r="G27" s="28">
        <v>32.6</v>
      </c>
      <c r="H27" s="36" t="s">
        <v>24</v>
      </c>
      <c r="I27" s="148"/>
      <c r="J27" s="148"/>
      <c r="K27" s="138"/>
      <c r="L27" s="37"/>
      <c r="M27" s="163"/>
    </row>
    <row r="28">
      <c r="B28" s="164"/>
      <c r="C28" s="30"/>
      <c r="D28" s="23"/>
      <c r="E28" s="23">
        <v>3.0</v>
      </c>
      <c r="F28" s="28">
        <v>36.30795812720973</v>
      </c>
      <c r="G28" s="28">
        <v>32.4</v>
      </c>
      <c r="H28" s="36" t="s">
        <v>24</v>
      </c>
      <c r="I28" s="148"/>
      <c r="J28" s="148"/>
      <c r="K28" s="138"/>
      <c r="L28" s="37"/>
      <c r="M28" s="163"/>
    </row>
    <row r="29">
      <c r="B29" s="24" t="s">
        <v>48</v>
      </c>
      <c r="C29" s="23" t="s">
        <v>72</v>
      </c>
      <c r="D29" s="24" t="s">
        <v>90</v>
      </c>
      <c r="E29" s="23">
        <v>1.0</v>
      </c>
      <c r="F29" s="28" t="s">
        <v>29</v>
      </c>
      <c r="G29" s="28">
        <v>29.6</v>
      </c>
      <c r="H29" s="36" t="s">
        <v>30</v>
      </c>
      <c r="I29" s="148"/>
      <c r="J29" s="148"/>
      <c r="K29" s="37"/>
      <c r="L29" s="37"/>
      <c r="M29" s="163"/>
    </row>
    <row r="30">
      <c r="B30" s="164"/>
      <c r="C30" s="30"/>
      <c r="D30" s="23"/>
      <c r="E30" s="23">
        <v>2.0</v>
      </c>
      <c r="F30" s="28" t="s">
        <v>29</v>
      </c>
      <c r="G30" s="28">
        <v>29.3</v>
      </c>
      <c r="H30" s="36" t="s">
        <v>30</v>
      </c>
      <c r="I30" s="3"/>
      <c r="J30" s="3"/>
      <c r="K30" s="138"/>
      <c r="L30" s="37"/>
      <c r="M30" s="163"/>
    </row>
    <row r="31">
      <c r="B31" s="164"/>
      <c r="C31" s="30"/>
      <c r="D31" s="23"/>
      <c r="E31" s="23">
        <v>3.0</v>
      </c>
      <c r="F31" s="28" t="s">
        <v>29</v>
      </c>
      <c r="G31" s="28">
        <v>29.5</v>
      </c>
      <c r="H31" s="36" t="s">
        <v>30</v>
      </c>
      <c r="I31" s="3"/>
      <c r="J31" s="3"/>
      <c r="K31" s="138"/>
      <c r="L31" s="37"/>
      <c r="M31" s="163"/>
    </row>
    <row r="32">
      <c r="B32" s="24" t="s">
        <v>91</v>
      </c>
      <c r="C32" s="24" t="s">
        <v>76</v>
      </c>
      <c r="D32" s="24" t="s">
        <v>89</v>
      </c>
      <c r="E32" s="23">
        <v>1.0</v>
      </c>
      <c r="F32" s="28">
        <v>37.49186899493728</v>
      </c>
      <c r="G32" s="28">
        <v>31.6</v>
      </c>
      <c r="H32" s="36" t="s">
        <v>24</v>
      </c>
      <c r="I32" s="3"/>
      <c r="J32" s="3"/>
      <c r="K32" s="37"/>
      <c r="L32" s="37"/>
      <c r="M32" s="163"/>
    </row>
    <row r="33">
      <c r="B33" s="164"/>
      <c r="C33" s="30"/>
      <c r="D33" s="23"/>
      <c r="E33" s="23">
        <v>2.0</v>
      </c>
      <c r="F33" s="28">
        <v>36.592165992443</v>
      </c>
      <c r="G33" s="28">
        <v>31.8</v>
      </c>
      <c r="H33" s="36" t="s">
        <v>24</v>
      </c>
      <c r="K33" s="138"/>
      <c r="L33" s="37"/>
      <c r="M33" s="163"/>
    </row>
    <row r="34">
      <c r="B34" s="164"/>
      <c r="C34" s="30"/>
      <c r="D34" s="23"/>
      <c r="E34" s="23">
        <v>3.0</v>
      </c>
      <c r="F34" s="28">
        <v>37.490749234970835</v>
      </c>
      <c r="G34" s="28">
        <v>32.0</v>
      </c>
      <c r="H34" s="36" t="s">
        <v>24</v>
      </c>
      <c r="K34" s="138"/>
      <c r="L34" s="37"/>
      <c r="M34" s="163"/>
    </row>
    <row r="35">
      <c r="B35" s="24" t="s">
        <v>75</v>
      </c>
      <c r="C35" s="24" t="s">
        <v>76</v>
      </c>
      <c r="D35" s="24" t="s">
        <v>90</v>
      </c>
      <c r="E35" s="23">
        <v>1.0</v>
      </c>
      <c r="F35" s="28" t="s">
        <v>29</v>
      </c>
      <c r="G35" s="28">
        <v>28.5</v>
      </c>
      <c r="H35" s="36" t="s">
        <v>30</v>
      </c>
      <c r="K35" s="138"/>
      <c r="L35" s="37"/>
      <c r="M35" s="163"/>
    </row>
    <row r="36">
      <c r="B36" s="164"/>
      <c r="C36" s="30"/>
      <c r="D36" s="23"/>
      <c r="E36" s="23">
        <v>2.0</v>
      </c>
      <c r="F36" s="28" t="s">
        <v>29</v>
      </c>
      <c r="G36" s="28">
        <v>29.2</v>
      </c>
      <c r="H36" s="36" t="s">
        <v>30</v>
      </c>
      <c r="K36" s="138"/>
      <c r="L36" s="37"/>
      <c r="M36" s="163"/>
    </row>
    <row r="37">
      <c r="B37" s="164"/>
      <c r="C37" s="30"/>
      <c r="D37" s="23"/>
      <c r="E37" s="23">
        <v>3.0</v>
      </c>
      <c r="F37" s="28" t="s">
        <v>29</v>
      </c>
      <c r="G37" s="28">
        <v>28.7</v>
      </c>
      <c r="H37" s="36" t="s">
        <v>30</v>
      </c>
      <c r="K37" s="138"/>
      <c r="L37" s="37"/>
      <c r="M37" s="163"/>
    </row>
    <row r="38">
      <c r="B38" s="24" t="s">
        <v>50</v>
      </c>
      <c r="C38" s="24" t="s">
        <v>92</v>
      </c>
      <c r="D38" s="24" t="s">
        <v>89</v>
      </c>
      <c r="E38" s="23">
        <v>1.0</v>
      </c>
      <c r="F38" s="28">
        <v>37.3069765630738</v>
      </c>
      <c r="G38" s="28">
        <v>30.1</v>
      </c>
      <c r="H38" s="36" t="s">
        <v>24</v>
      </c>
      <c r="K38" s="138"/>
      <c r="L38" s="37"/>
      <c r="M38" s="163"/>
    </row>
    <row r="39">
      <c r="B39" s="164"/>
      <c r="C39" s="30"/>
      <c r="D39" s="23"/>
      <c r="E39" s="23">
        <v>2.0</v>
      </c>
      <c r="F39" s="28">
        <v>37.61336028687184</v>
      </c>
      <c r="G39" s="28">
        <v>30.0</v>
      </c>
      <c r="H39" s="36" t="s">
        <v>24</v>
      </c>
      <c r="K39" s="138"/>
      <c r="L39" s="37"/>
      <c r="M39" s="163"/>
    </row>
    <row r="40">
      <c r="B40" s="164"/>
      <c r="C40" s="30"/>
      <c r="D40" s="23"/>
      <c r="E40" s="23">
        <v>3.0</v>
      </c>
      <c r="F40" s="28">
        <v>36.68024875409404</v>
      </c>
      <c r="G40" s="28">
        <v>30.3</v>
      </c>
      <c r="H40" s="36" t="s">
        <v>24</v>
      </c>
      <c r="K40" s="138"/>
      <c r="L40" s="37"/>
      <c r="M40" s="163"/>
    </row>
    <row r="41">
      <c r="B41" s="24" t="s">
        <v>52</v>
      </c>
      <c r="C41" s="24" t="s">
        <v>92</v>
      </c>
      <c r="D41" s="24" t="s">
        <v>90</v>
      </c>
      <c r="E41" s="23">
        <v>1.0</v>
      </c>
      <c r="F41" s="28" t="s">
        <v>29</v>
      </c>
      <c r="G41" s="28">
        <v>30.0</v>
      </c>
      <c r="H41" s="36" t="s">
        <v>30</v>
      </c>
      <c r="K41" s="37"/>
      <c r="L41" s="37"/>
      <c r="M41" s="163"/>
    </row>
    <row r="42">
      <c r="B42" s="164"/>
      <c r="C42" s="30"/>
      <c r="D42" s="23"/>
      <c r="E42" s="23">
        <v>2.0</v>
      </c>
      <c r="F42" s="28" t="s">
        <v>29</v>
      </c>
      <c r="G42" s="28">
        <v>30.0</v>
      </c>
      <c r="H42" s="36" t="s">
        <v>30</v>
      </c>
      <c r="K42" s="138"/>
      <c r="L42" s="37"/>
      <c r="M42" s="163"/>
    </row>
    <row r="43">
      <c r="B43" s="164"/>
      <c r="C43" s="30"/>
      <c r="D43" s="23"/>
      <c r="E43" s="23">
        <v>3.0</v>
      </c>
      <c r="F43" s="28" t="s">
        <v>29</v>
      </c>
      <c r="G43" s="28">
        <v>30.0</v>
      </c>
      <c r="H43" s="36" t="s">
        <v>30</v>
      </c>
      <c r="K43" s="138"/>
      <c r="L43" s="37"/>
      <c r="M43" s="163"/>
    </row>
    <row r="44">
      <c r="B44" s="24" t="s">
        <v>54</v>
      </c>
      <c r="C44" s="23" t="s">
        <v>82</v>
      </c>
      <c r="D44" s="24" t="s">
        <v>89</v>
      </c>
      <c r="E44" s="23">
        <v>1.0</v>
      </c>
      <c r="F44" s="28">
        <v>35.76407693437028</v>
      </c>
      <c r="G44" s="28">
        <v>30.6</v>
      </c>
      <c r="H44" s="36" t="s">
        <v>24</v>
      </c>
      <c r="K44" s="37"/>
      <c r="L44" s="37"/>
      <c r="M44" s="163"/>
    </row>
    <row r="45">
      <c r="B45" s="164"/>
      <c r="C45" s="30"/>
      <c r="D45" s="23"/>
      <c r="E45" s="23">
        <v>2.0</v>
      </c>
      <c r="F45" s="28">
        <v>36.43545060014871</v>
      </c>
      <c r="G45" s="28">
        <v>31.1</v>
      </c>
      <c r="H45" s="36" t="s">
        <v>24</v>
      </c>
      <c r="K45" s="138"/>
      <c r="L45" s="37"/>
      <c r="M45" s="163"/>
    </row>
    <row r="46">
      <c r="B46" s="164"/>
      <c r="C46" s="30"/>
      <c r="D46" s="23"/>
      <c r="E46" s="23">
        <v>3.0</v>
      </c>
      <c r="F46" s="28">
        <v>35.806342510378656</v>
      </c>
      <c r="G46" s="28">
        <v>30.9</v>
      </c>
      <c r="H46" s="36" t="s">
        <v>24</v>
      </c>
      <c r="K46" s="138"/>
      <c r="L46" s="37"/>
      <c r="M46" s="163"/>
    </row>
    <row r="47">
      <c r="B47" s="24" t="s">
        <v>55</v>
      </c>
      <c r="C47" s="23" t="s">
        <v>82</v>
      </c>
      <c r="D47" s="24" t="s">
        <v>90</v>
      </c>
      <c r="E47" s="23">
        <v>1.0</v>
      </c>
      <c r="F47" s="28" t="s">
        <v>29</v>
      </c>
      <c r="G47" s="28">
        <v>28.0</v>
      </c>
      <c r="H47" s="36" t="s">
        <v>30</v>
      </c>
      <c r="K47" s="138"/>
      <c r="L47" s="37"/>
      <c r="M47" s="163"/>
    </row>
    <row r="48">
      <c r="B48" s="164"/>
      <c r="C48" s="30"/>
      <c r="D48" s="23"/>
      <c r="E48" s="23">
        <v>2.0</v>
      </c>
      <c r="F48" s="28" t="s">
        <v>29</v>
      </c>
      <c r="G48" s="28">
        <v>27.8</v>
      </c>
      <c r="H48" s="36" t="s">
        <v>30</v>
      </c>
      <c r="K48" s="138"/>
      <c r="L48" s="37"/>
      <c r="M48" s="163"/>
    </row>
    <row r="49">
      <c r="B49" s="164"/>
      <c r="C49" s="30"/>
      <c r="D49" s="23"/>
      <c r="E49" s="23">
        <v>3.0</v>
      </c>
      <c r="F49" s="28" t="s">
        <v>29</v>
      </c>
      <c r="G49" s="28">
        <v>27.8</v>
      </c>
      <c r="H49" s="36" t="s">
        <v>30</v>
      </c>
      <c r="K49" s="138"/>
      <c r="L49" s="37"/>
      <c r="M49" s="163"/>
    </row>
    <row r="50">
      <c r="B50" s="24" t="s">
        <v>93</v>
      </c>
      <c r="C50" s="23" t="s">
        <v>86</v>
      </c>
      <c r="D50" s="24" t="s">
        <v>89</v>
      </c>
      <c r="E50" s="23">
        <v>1.0</v>
      </c>
      <c r="F50" s="28">
        <v>35.96462915708426</v>
      </c>
      <c r="G50" s="28">
        <v>33.0</v>
      </c>
      <c r="H50" s="36" t="s">
        <v>24</v>
      </c>
      <c r="K50" s="138"/>
      <c r="L50" s="37"/>
      <c r="M50" s="163"/>
    </row>
    <row r="51">
      <c r="B51" s="164"/>
      <c r="C51" s="30"/>
      <c r="D51" s="23"/>
      <c r="E51" s="23">
        <v>2.0</v>
      </c>
      <c r="F51" s="28">
        <v>35.672059196162934</v>
      </c>
      <c r="G51" s="28">
        <v>33.0</v>
      </c>
      <c r="H51" s="36" t="s">
        <v>24</v>
      </c>
      <c r="K51" s="37"/>
      <c r="L51" s="37"/>
      <c r="M51" s="163"/>
    </row>
    <row r="52">
      <c r="B52" s="164"/>
      <c r="C52" s="30"/>
      <c r="D52" s="23"/>
      <c r="E52" s="23">
        <v>3.0</v>
      </c>
      <c r="F52" s="28">
        <v>35.81299082799619</v>
      </c>
      <c r="G52" s="28">
        <v>33.3</v>
      </c>
      <c r="H52" s="36" t="s">
        <v>24</v>
      </c>
      <c r="K52" s="37"/>
      <c r="L52" s="37"/>
      <c r="M52" s="163"/>
    </row>
    <row r="53">
      <c r="B53" s="24" t="s">
        <v>85</v>
      </c>
      <c r="C53" s="23" t="s">
        <v>86</v>
      </c>
      <c r="D53" s="24" t="s">
        <v>90</v>
      </c>
      <c r="E53" s="23">
        <v>1.0</v>
      </c>
      <c r="F53" s="28" t="s">
        <v>29</v>
      </c>
      <c r="G53" s="28">
        <v>31.2</v>
      </c>
      <c r="H53" s="36" t="s">
        <v>30</v>
      </c>
      <c r="K53" s="37"/>
      <c r="L53" s="37"/>
      <c r="M53" s="163"/>
    </row>
    <row r="54">
      <c r="B54" s="164"/>
      <c r="C54" s="30"/>
      <c r="D54" s="23"/>
      <c r="E54" s="23">
        <v>2.0</v>
      </c>
      <c r="F54" s="28" t="s">
        <v>29</v>
      </c>
      <c r="G54" s="28">
        <v>31.2</v>
      </c>
      <c r="H54" s="36" t="s">
        <v>30</v>
      </c>
      <c r="K54" s="138"/>
      <c r="L54" s="37"/>
      <c r="M54" s="163"/>
    </row>
    <row r="55">
      <c r="B55" s="164"/>
      <c r="C55" s="30"/>
      <c r="D55" s="23"/>
      <c r="E55" s="23">
        <v>3.0</v>
      </c>
      <c r="F55" s="28" t="s">
        <v>29</v>
      </c>
      <c r="G55" s="28">
        <v>31.4</v>
      </c>
      <c r="H55" s="36" t="s">
        <v>30</v>
      </c>
      <c r="K55" s="138"/>
      <c r="L55" s="37"/>
      <c r="M55" s="163"/>
    </row>
    <row r="56">
      <c r="B56" s="24" t="s">
        <v>94</v>
      </c>
      <c r="C56" s="24" t="s">
        <v>95</v>
      </c>
      <c r="D56" s="24" t="s">
        <v>89</v>
      </c>
      <c r="E56" s="23">
        <v>1.0</v>
      </c>
      <c r="F56" s="28">
        <v>36.68360617903021</v>
      </c>
      <c r="G56" s="28">
        <v>28.6</v>
      </c>
      <c r="H56" s="36" t="s">
        <v>24</v>
      </c>
      <c r="K56" s="37"/>
      <c r="L56" s="37"/>
      <c r="M56" s="163"/>
    </row>
    <row r="57">
      <c r="B57" s="164"/>
      <c r="C57" s="30"/>
      <c r="D57" s="23"/>
      <c r="E57" s="23">
        <v>2.0</v>
      </c>
      <c r="F57" s="28">
        <v>37.41439728339476</v>
      </c>
      <c r="G57" s="28">
        <v>28.9</v>
      </c>
      <c r="H57" s="36" t="s">
        <v>24</v>
      </c>
      <c r="K57" s="138"/>
      <c r="L57" s="37"/>
      <c r="M57" s="163"/>
    </row>
    <row r="58">
      <c r="B58" s="164"/>
      <c r="C58" s="30"/>
      <c r="D58" s="23"/>
      <c r="E58" s="23">
        <v>3.0</v>
      </c>
      <c r="F58" s="28">
        <v>37.255355190328046</v>
      </c>
      <c r="G58" s="28">
        <v>28.8</v>
      </c>
      <c r="H58" s="36" t="s">
        <v>24</v>
      </c>
      <c r="K58" s="138"/>
      <c r="L58" s="37"/>
      <c r="M58" s="163"/>
    </row>
    <row r="59">
      <c r="B59" s="24" t="s">
        <v>51</v>
      </c>
      <c r="C59" s="24" t="s">
        <v>95</v>
      </c>
      <c r="D59" s="24" t="s">
        <v>89</v>
      </c>
      <c r="E59" s="23">
        <v>1.0</v>
      </c>
      <c r="F59" s="28">
        <v>36.41411086733768</v>
      </c>
      <c r="G59" s="28" t="s">
        <v>29</v>
      </c>
      <c r="H59" s="36" t="s">
        <v>24</v>
      </c>
      <c r="K59" s="138"/>
      <c r="L59" s="37"/>
      <c r="M59" s="163"/>
    </row>
    <row r="60">
      <c r="B60" s="164"/>
      <c r="C60" s="30"/>
      <c r="D60" s="23"/>
      <c r="E60" s="23">
        <v>2.0</v>
      </c>
      <c r="F60" s="28">
        <v>35.373833862156616</v>
      </c>
      <c r="G60" s="28" t="s">
        <v>29</v>
      </c>
      <c r="H60" s="36" t="s">
        <v>24</v>
      </c>
      <c r="K60" s="138"/>
      <c r="L60" s="37"/>
      <c r="M60" s="163"/>
    </row>
    <row r="61">
      <c r="B61" s="164"/>
      <c r="C61" s="30"/>
      <c r="D61" s="23"/>
      <c r="E61" s="23">
        <v>3.0</v>
      </c>
      <c r="F61" s="28">
        <v>35.80538285937703</v>
      </c>
      <c r="G61" s="28" t="s">
        <v>29</v>
      </c>
      <c r="H61" s="36" t="s">
        <v>24</v>
      </c>
      <c r="K61" s="138"/>
      <c r="L61" s="37"/>
      <c r="M61" s="163"/>
    </row>
    <row r="62">
      <c r="B62" s="24" t="s">
        <v>32</v>
      </c>
      <c r="C62" s="24" t="s">
        <v>95</v>
      </c>
      <c r="D62" s="24" t="s">
        <v>90</v>
      </c>
      <c r="E62" s="24">
        <v>1.0</v>
      </c>
      <c r="F62" s="28">
        <v>37.47260267263252</v>
      </c>
      <c r="G62" s="28">
        <v>27.7</v>
      </c>
      <c r="H62" s="36" t="s">
        <v>24</v>
      </c>
    </row>
    <row r="63">
      <c r="B63" s="165"/>
      <c r="C63" s="30"/>
      <c r="D63" s="23"/>
      <c r="E63" s="24">
        <v>2.0</v>
      </c>
      <c r="F63" s="28">
        <v>36.9066301197242</v>
      </c>
      <c r="G63" s="28">
        <v>27.7</v>
      </c>
      <c r="H63" s="36" t="s">
        <v>24</v>
      </c>
    </row>
    <row r="64">
      <c r="B64" s="24" t="s">
        <v>31</v>
      </c>
      <c r="C64" s="24" t="s">
        <v>95</v>
      </c>
      <c r="D64" s="24" t="s">
        <v>90</v>
      </c>
      <c r="E64" s="23">
        <v>1.0</v>
      </c>
      <c r="F64" s="28" t="s">
        <v>29</v>
      </c>
      <c r="G64" s="28" t="s">
        <v>29</v>
      </c>
      <c r="H64" s="36" t="s">
        <v>30</v>
      </c>
    </row>
  </sheetData>
  <mergeCells count="11">
    <mergeCell ref="H15:I15"/>
    <mergeCell ref="J15:K15"/>
    <mergeCell ref="L15:M15"/>
    <mergeCell ref="N15:O15"/>
    <mergeCell ref="C3:E3"/>
    <mergeCell ref="F3:H3"/>
    <mergeCell ref="B15:B16"/>
    <mergeCell ref="C15:C16"/>
    <mergeCell ref="D15:D16"/>
    <mergeCell ref="E15:E16"/>
    <mergeCell ref="F15:G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4" width="13.0"/>
    <col customWidth="1" min="5" max="5" width="14.0"/>
    <col customWidth="1" min="6" max="10" width="13.0"/>
    <col customWidth="1" min="11" max="11" width="14.5"/>
    <col customWidth="1" min="12" max="14" width="13.0"/>
  </cols>
  <sheetData>
    <row r="1">
      <c r="A1" s="166" t="s">
        <v>96</v>
      </c>
    </row>
    <row r="3">
      <c r="B3" s="2" t="s">
        <v>1</v>
      </c>
      <c r="C3" s="3"/>
      <c r="D3" s="3"/>
      <c r="E3" s="3"/>
      <c r="F3" s="3"/>
      <c r="G3" s="3"/>
      <c r="H3" s="3"/>
      <c r="I3" s="2"/>
      <c r="J3" s="3"/>
      <c r="K3" s="3"/>
      <c r="L3" s="3"/>
      <c r="M3" s="3"/>
    </row>
    <row r="4">
      <c r="B4" s="4"/>
      <c r="C4" s="5">
        <v>1.0</v>
      </c>
      <c r="D4" s="5">
        <v>2.0</v>
      </c>
      <c r="E4" s="5">
        <v>3.0</v>
      </c>
      <c r="F4" s="167">
        <v>4.0</v>
      </c>
      <c r="G4" s="167">
        <v>5.0</v>
      </c>
      <c r="H4" s="167">
        <v>6.0</v>
      </c>
      <c r="I4" s="167">
        <v>7.0</v>
      </c>
      <c r="J4" s="167">
        <v>8.0</v>
      </c>
      <c r="K4" s="167">
        <v>9.0</v>
      </c>
      <c r="L4" s="167">
        <v>10.0</v>
      </c>
      <c r="M4" s="167">
        <v>11.0</v>
      </c>
      <c r="N4" s="167">
        <v>12.0</v>
      </c>
    </row>
    <row r="5">
      <c r="B5" s="6" t="s">
        <v>2</v>
      </c>
      <c r="C5" s="7" t="s">
        <v>97</v>
      </c>
      <c r="D5" s="7" t="s">
        <v>98</v>
      </c>
      <c r="E5" s="7" t="s">
        <v>99</v>
      </c>
      <c r="F5" s="7" t="s">
        <v>100</v>
      </c>
      <c r="G5" s="7" t="s">
        <v>101</v>
      </c>
      <c r="H5" s="7" t="s">
        <v>102</v>
      </c>
      <c r="I5" s="7" t="s">
        <v>103</v>
      </c>
      <c r="J5" s="7" t="s">
        <v>104</v>
      </c>
      <c r="K5" s="7" t="s">
        <v>105</v>
      </c>
      <c r="L5" s="7" t="s">
        <v>106</v>
      </c>
      <c r="M5" s="7" t="s">
        <v>11</v>
      </c>
      <c r="N5" s="7"/>
    </row>
    <row r="6">
      <c r="B6" s="6" t="s">
        <v>3</v>
      </c>
      <c r="C6" s="7" t="s">
        <v>107</v>
      </c>
      <c r="D6" s="7" t="s">
        <v>108</v>
      </c>
      <c r="E6" s="7" t="s">
        <v>109</v>
      </c>
      <c r="F6" s="7" t="s">
        <v>110</v>
      </c>
      <c r="G6" s="7" t="s">
        <v>111</v>
      </c>
      <c r="H6" s="7" t="s">
        <v>112</v>
      </c>
      <c r="I6" s="7" t="s">
        <v>113</v>
      </c>
      <c r="J6" s="7" t="s">
        <v>114</v>
      </c>
      <c r="K6" s="7" t="s">
        <v>115</v>
      </c>
      <c r="L6" s="7" t="s">
        <v>116</v>
      </c>
      <c r="M6" s="7" t="s">
        <v>10</v>
      </c>
      <c r="N6" s="7"/>
    </row>
    <row r="7">
      <c r="B7" s="6" t="s">
        <v>4</v>
      </c>
      <c r="C7" s="7" t="s">
        <v>117</v>
      </c>
      <c r="D7" s="7" t="s">
        <v>118</v>
      </c>
      <c r="E7" s="7" t="s">
        <v>119</v>
      </c>
      <c r="F7" s="7" t="s">
        <v>120</v>
      </c>
      <c r="G7" s="7" t="s">
        <v>121</v>
      </c>
      <c r="H7" s="7" t="s">
        <v>122</v>
      </c>
      <c r="I7" s="7" t="s">
        <v>123</v>
      </c>
      <c r="J7" s="7" t="s">
        <v>124</v>
      </c>
      <c r="K7" s="7" t="s">
        <v>125</v>
      </c>
      <c r="L7" s="7" t="s">
        <v>126</v>
      </c>
      <c r="M7" s="7"/>
      <c r="N7" s="7"/>
    </row>
    <row r="8">
      <c r="B8" s="6" t="s">
        <v>5</v>
      </c>
      <c r="C8" s="7" t="s">
        <v>127</v>
      </c>
      <c r="D8" s="7" t="s">
        <v>128</v>
      </c>
      <c r="E8" s="7" t="s">
        <v>129</v>
      </c>
      <c r="F8" s="7" t="s">
        <v>130</v>
      </c>
      <c r="G8" s="7" t="s">
        <v>131</v>
      </c>
      <c r="H8" s="7" t="s">
        <v>132</v>
      </c>
      <c r="I8" s="7" t="s">
        <v>133</v>
      </c>
      <c r="J8" s="7" t="s">
        <v>134</v>
      </c>
      <c r="K8" s="7" t="s">
        <v>135</v>
      </c>
      <c r="L8" s="7" t="s">
        <v>136</v>
      </c>
      <c r="M8" s="7"/>
      <c r="N8" s="7"/>
    </row>
    <row r="9">
      <c r="B9" s="6" t="s">
        <v>6</v>
      </c>
      <c r="C9" s="7" t="s">
        <v>137</v>
      </c>
      <c r="D9" s="7" t="s">
        <v>138</v>
      </c>
      <c r="E9" s="7" t="s">
        <v>139</v>
      </c>
      <c r="F9" s="7" t="s">
        <v>140</v>
      </c>
      <c r="G9" s="7" t="s">
        <v>141</v>
      </c>
      <c r="H9" s="7" t="s">
        <v>142</v>
      </c>
      <c r="I9" s="7" t="s">
        <v>143</v>
      </c>
      <c r="J9" s="7" t="s">
        <v>144</v>
      </c>
      <c r="K9" s="7" t="s">
        <v>145</v>
      </c>
      <c r="L9" s="7" t="s">
        <v>146</v>
      </c>
      <c r="M9" s="7"/>
      <c r="N9" s="7"/>
    </row>
    <row r="10">
      <c r="B10" s="6" t="s">
        <v>7</v>
      </c>
      <c r="C10" s="7" t="s">
        <v>147</v>
      </c>
      <c r="D10" s="7" t="s">
        <v>148</v>
      </c>
      <c r="E10" s="7" t="s">
        <v>149</v>
      </c>
      <c r="F10" s="7" t="s">
        <v>150</v>
      </c>
      <c r="G10" s="7" t="s">
        <v>151</v>
      </c>
      <c r="H10" s="7" t="s">
        <v>152</v>
      </c>
      <c r="I10" s="7" t="s">
        <v>153</v>
      </c>
      <c r="J10" s="7" t="s">
        <v>154</v>
      </c>
      <c r="K10" s="7" t="s">
        <v>155</v>
      </c>
      <c r="L10" s="7" t="s">
        <v>156</v>
      </c>
      <c r="M10" s="7"/>
      <c r="N10" s="7"/>
    </row>
    <row r="11">
      <c r="B11" s="6" t="s">
        <v>8</v>
      </c>
      <c r="C11" s="7" t="s">
        <v>157</v>
      </c>
      <c r="D11" s="7" t="s">
        <v>158</v>
      </c>
      <c r="E11" s="7" t="s">
        <v>159</v>
      </c>
      <c r="F11" s="7" t="s">
        <v>160</v>
      </c>
      <c r="G11" s="7" t="s">
        <v>161</v>
      </c>
      <c r="H11" s="7" t="s">
        <v>162</v>
      </c>
      <c r="I11" s="7" t="s">
        <v>163</v>
      </c>
      <c r="J11" s="7" t="s">
        <v>164</v>
      </c>
      <c r="K11" s="7" t="s">
        <v>165</v>
      </c>
      <c r="L11" s="7" t="s">
        <v>166</v>
      </c>
      <c r="M11" s="7"/>
      <c r="N11" s="7"/>
    </row>
    <row r="12">
      <c r="B12" s="6" t="s">
        <v>9</v>
      </c>
      <c r="C12" s="45" t="s">
        <v>167</v>
      </c>
      <c r="D12" s="45" t="s">
        <v>168</v>
      </c>
      <c r="E12" s="45" t="s">
        <v>169</v>
      </c>
      <c r="F12" s="8" t="s">
        <v>170</v>
      </c>
      <c r="G12" s="8" t="s">
        <v>171</v>
      </c>
      <c r="H12" s="8" t="s">
        <v>172</v>
      </c>
      <c r="I12" s="8" t="s">
        <v>173</v>
      </c>
      <c r="J12" s="45" t="s">
        <v>174</v>
      </c>
      <c r="K12" s="8" t="s">
        <v>175</v>
      </c>
      <c r="L12" s="8" t="s">
        <v>176</v>
      </c>
      <c r="M12" s="45"/>
      <c r="N12" s="45"/>
    </row>
    <row r="13">
      <c r="B13" s="9"/>
      <c r="C13" s="10"/>
      <c r="D13" s="11"/>
      <c r="E13" s="11"/>
      <c r="F13" s="11"/>
      <c r="G13" s="11"/>
      <c r="H13" s="3"/>
      <c r="I13" s="3"/>
      <c r="J13" s="3"/>
      <c r="K13" s="3"/>
      <c r="L13" s="3"/>
      <c r="M13" s="3"/>
    </row>
    <row r="14">
      <c r="B14" s="14" t="s">
        <v>177</v>
      </c>
      <c r="C14" s="15"/>
      <c r="D14" s="2"/>
      <c r="E14" s="3"/>
      <c r="F14" s="3"/>
      <c r="G14" s="3"/>
      <c r="H14" s="168"/>
      <c r="I14" s="13"/>
      <c r="J14" s="2"/>
      <c r="K14" s="3"/>
      <c r="L14" s="3"/>
      <c r="M14" s="3"/>
      <c r="O14" s="168"/>
      <c r="P14" s="13"/>
      <c r="Q14" s="2"/>
      <c r="R14" s="3"/>
      <c r="S14" s="3"/>
    </row>
    <row r="15" ht="43.5" customHeight="1">
      <c r="B15" s="169" t="s">
        <v>178</v>
      </c>
      <c r="C15" s="18" t="s">
        <v>179</v>
      </c>
      <c r="D15" s="18" t="s">
        <v>180</v>
      </c>
      <c r="E15" s="18" t="s">
        <v>181</v>
      </c>
      <c r="F15" s="3"/>
      <c r="G15" s="64"/>
      <c r="H15" s="170"/>
      <c r="I15" s="63"/>
      <c r="J15" s="170"/>
      <c r="K15" s="63"/>
      <c r="L15" s="63"/>
      <c r="N15" s="64"/>
      <c r="O15" s="170"/>
      <c r="P15" s="63"/>
      <c r="Q15" s="170"/>
      <c r="R15" s="63"/>
    </row>
    <row r="16">
      <c r="B16" s="7" t="s">
        <v>182</v>
      </c>
      <c r="C16" s="171">
        <v>39.0</v>
      </c>
      <c r="D16" s="171">
        <v>0.0</v>
      </c>
      <c r="E16" s="171">
        <v>39.0</v>
      </c>
      <c r="F16" s="3"/>
      <c r="G16" s="172"/>
      <c r="H16" s="76"/>
      <c r="I16" s="76"/>
      <c r="J16" s="76"/>
      <c r="K16" s="76"/>
      <c r="L16" s="72"/>
      <c r="N16" s="172"/>
      <c r="O16" s="76"/>
      <c r="P16" s="76"/>
      <c r="Q16" s="76"/>
      <c r="R16" s="76"/>
    </row>
    <row r="17">
      <c r="B17" s="7" t="s">
        <v>183</v>
      </c>
      <c r="C17" s="171">
        <v>1.0</v>
      </c>
      <c r="D17" s="171">
        <v>40.0</v>
      </c>
      <c r="E17" s="171">
        <v>41.0</v>
      </c>
      <c r="F17" s="3"/>
      <c r="G17" s="172"/>
      <c r="H17" s="76"/>
      <c r="I17" s="76"/>
      <c r="J17" s="76"/>
      <c r="K17" s="76"/>
      <c r="L17" s="72"/>
      <c r="N17" s="172"/>
      <c r="O17" s="76"/>
      <c r="P17" s="76"/>
      <c r="Q17" s="76"/>
      <c r="R17" s="76"/>
    </row>
    <row r="18">
      <c r="B18" s="7" t="s">
        <v>184</v>
      </c>
      <c r="C18" s="171">
        <v>0.0</v>
      </c>
      <c r="D18" s="171">
        <v>0.0</v>
      </c>
      <c r="E18" s="171">
        <v>0.0</v>
      </c>
      <c r="F18" s="3"/>
      <c r="G18" s="43"/>
      <c r="H18" s="76"/>
      <c r="I18" s="76"/>
      <c r="J18" s="76"/>
      <c r="K18" s="76"/>
      <c r="L18" s="72"/>
      <c r="N18" s="43"/>
      <c r="O18" s="76"/>
      <c r="P18" s="76"/>
      <c r="Q18" s="76"/>
      <c r="R18" s="76"/>
    </row>
    <row r="19">
      <c r="B19" s="7" t="s">
        <v>181</v>
      </c>
      <c r="C19" s="171">
        <v>40.0</v>
      </c>
      <c r="D19" s="171">
        <v>40.0</v>
      </c>
      <c r="E19" s="171">
        <v>80.0</v>
      </c>
      <c r="F19" s="3"/>
      <c r="G19" s="43"/>
      <c r="H19" s="76"/>
      <c r="I19" s="76"/>
      <c r="J19" s="76"/>
      <c r="K19" s="76"/>
      <c r="L19" s="72"/>
      <c r="N19" s="43"/>
      <c r="O19" s="76"/>
      <c r="P19" s="76"/>
      <c r="Q19" s="76"/>
      <c r="R19" s="76"/>
    </row>
    <row r="20">
      <c r="B20" s="7" t="s">
        <v>185</v>
      </c>
      <c r="C20" s="173" t="s">
        <v>186</v>
      </c>
      <c r="D20" s="141"/>
      <c r="E20" s="142"/>
      <c r="F20" s="3"/>
      <c r="G20" s="43"/>
      <c r="H20" s="76"/>
      <c r="I20" s="76"/>
      <c r="J20" s="76"/>
      <c r="K20" s="76"/>
      <c r="L20" s="72"/>
      <c r="N20" s="43"/>
      <c r="O20" s="76"/>
      <c r="P20" s="76"/>
      <c r="Q20" s="76"/>
      <c r="R20" s="76"/>
    </row>
    <row r="21">
      <c r="B21" s="7" t="s">
        <v>187</v>
      </c>
      <c r="C21" s="173" t="s">
        <v>188</v>
      </c>
      <c r="D21" s="141"/>
      <c r="E21" s="142"/>
      <c r="F21" s="3"/>
      <c r="G21" s="43"/>
      <c r="H21" s="76"/>
      <c r="I21" s="76"/>
      <c r="J21" s="76"/>
      <c r="K21" s="76"/>
      <c r="L21" s="72"/>
      <c r="N21" s="43"/>
      <c r="O21" s="76"/>
      <c r="P21" s="76"/>
      <c r="Q21" s="76"/>
      <c r="R21" s="76"/>
    </row>
    <row r="22">
      <c r="B22" s="3"/>
      <c r="C22" s="3"/>
      <c r="D22" s="3"/>
      <c r="E22" s="3"/>
      <c r="F22" s="3"/>
      <c r="G22" s="3"/>
      <c r="I22" s="39"/>
      <c r="J22" s="37"/>
      <c r="K22" s="52"/>
    </row>
    <row r="23">
      <c r="B23" s="2" t="s">
        <v>189</v>
      </c>
      <c r="C23" s="3"/>
      <c r="D23" s="2"/>
      <c r="E23" s="2"/>
      <c r="F23" s="174"/>
      <c r="G23" s="2"/>
      <c r="H23" s="3"/>
      <c r="J23" s="3"/>
      <c r="K23" s="3"/>
      <c r="L23" s="53"/>
      <c r="M23" s="13"/>
      <c r="N23" s="3"/>
      <c r="O23" s="2"/>
      <c r="P23" s="3"/>
      <c r="Q23" s="3"/>
      <c r="R23" s="3"/>
      <c r="S23" s="53"/>
    </row>
    <row r="24">
      <c r="B24" s="2" t="s">
        <v>190</v>
      </c>
      <c r="C24" s="3"/>
      <c r="D24" s="2"/>
      <c r="E24" s="2"/>
      <c r="F24" s="174"/>
      <c r="G24" s="2"/>
      <c r="H24" s="3"/>
      <c r="J24" s="3"/>
      <c r="K24" s="3"/>
      <c r="L24" s="53"/>
      <c r="M24" s="13"/>
      <c r="N24" s="3"/>
      <c r="O24" s="2"/>
      <c r="P24" s="3"/>
      <c r="Q24" s="3"/>
      <c r="R24" s="3"/>
      <c r="S24" s="53"/>
    </row>
    <row r="25">
      <c r="B25" s="2" t="s">
        <v>191</v>
      </c>
      <c r="C25" s="3"/>
      <c r="D25" s="2"/>
      <c r="E25" s="2"/>
      <c r="F25" s="174"/>
      <c r="G25" s="2"/>
      <c r="H25" s="3"/>
      <c r="J25" s="3"/>
      <c r="K25" s="3"/>
      <c r="L25" s="53"/>
      <c r="M25" s="13"/>
      <c r="N25" s="3"/>
      <c r="O25" s="2"/>
      <c r="P25" s="3"/>
      <c r="Q25" s="3"/>
      <c r="R25" s="3"/>
      <c r="S25" s="53"/>
    </row>
    <row r="26">
      <c r="C26" s="3"/>
      <c r="D26" s="2"/>
      <c r="E26" s="2"/>
      <c r="F26" s="174"/>
      <c r="G26" s="2"/>
      <c r="H26" s="3"/>
      <c r="J26" s="3"/>
      <c r="K26" s="3"/>
      <c r="L26" s="53"/>
      <c r="M26" s="13"/>
      <c r="N26" s="3"/>
      <c r="O26" s="2"/>
      <c r="P26" s="3"/>
      <c r="Q26" s="3"/>
      <c r="R26" s="3"/>
      <c r="S26" s="53"/>
    </row>
    <row r="27">
      <c r="B27" s="175" t="s">
        <v>192</v>
      </c>
      <c r="C27" s="176"/>
      <c r="D27" s="140" t="s">
        <v>193</v>
      </c>
      <c r="E27" s="141"/>
      <c r="F27" s="141"/>
      <c r="G27" s="142"/>
      <c r="H27" s="177" t="s">
        <v>194</v>
      </c>
      <c r="I27" s="178"/>
      <c r="J27" s="179"/>
      <c r="K27" s="3"/>
      <c r="L27" s="53"/>
      <c r="M27" s="13"/>
      <c r="N27" s="3"/>
      <c r="O27" s="2"/>
      <c r="P27" s="3"/>
      <c r="Q27" s="3"/>
      <c r="R27" s="3"/>
      <c r="S27" s="53"/>
    </row>
    <row r="28">
      <c r="B28" s="19" t="s">
        <v>195</v>
      </c>
      <c r="C28" s="19" t="s">
        <v>59</v>
      </c>
      <c r="D28" s="169" t="s">
        <v>196</v>
      </c>
      <c r="E28" s="169" t="s">
        <v>197</v>
      </c>
      <c r="F28" s="18" t="s">
        <v>198</v>
      </c>
      <c r="G28" s="180" t="s">
        <v>199</v>
      </c>
      <c r="H28" s="18" t="s">
        <v>16</v>
      </c>
      <c r="I28" s="161" t="s">
        <v>17</v>
      </c>
      <c r="J28" s="46" t="s">
        <v>18</v>
      </c>
      <c r="O28" s="64"/>
      <c r="P28" s="181"/>
      <c r="Q28" s="170"/>
      <c r="R28" s="182"/>
      <c r="S28" s="64"/>
    </row>
    <row r="29">
      <c r="B29" s="50" t="s">
        <v>200</v>
      </c>
      <c r="C29" s="118" t="s">
        <v>127</v>
      </c>
      <c r="D29" s="183">
        <v>44198.0</v>
      </c>
      <c r="E29" s="184" t="s">
        <v>201</v>
      </c>
      <c r="F29" s="185">
        <v>13.2</v>
      </c>
      <c r="G29" s="8" t="s">
        <v>24</v>
      </c>
      <c r="H29" s="186">
        <v>22.14</v>
      </c>
      <c r="I29" s="187" t="s">
        <v>202</v>
      </c>
      <c r="J29" s="35" t="s">
        <v>24</v>
      </c>
      <c r="K29" s="188"/>
      <c r="L29" s="188"/>
      <c r="O29" s="189"/>
      <c r="P29" s="82"/>
    </row>
    <row r="30">
      <c r="B30" s="118" t="s">
        <v>203</v>
      </c>
      <c r="C30" s="118" t="s">
        <v>121</v>
      </c>
      <c r="D30" s="183">
        <v>44198.0</v>
      </c>
      <c r="E30" s="184" t="s">
        <v>201</v>
      </c>
      <c r="F30" s="185">
        <v>13.6</v>
      </c>
      <c r="G30" s="8" t="s">
        <v>24</v>
      </c>
      <c r="H30" s="185">
        <v>23.36</v>
      </c>
      <c r="I30" s="8" t="s">
        <v>202</v>
      </c>
      <c r="J30" s="35" t="s">
        <v>24</v>
      </c>
      <c r="K30" s="188"/>
      <c r="L30" s="188"/>
      <c r="O30" s="39"/>
      <c r="P30" s="82"/>
    </row>
    <row r="31">
      <c r="B31" s="118" t="s">
        <v>204</v>
      </c>
      <c r="C31" s="118" t="s">
        <v>173</v>
      </c>
      <c r="D31" s="183">
        <v>44198.0</v>
      </c>
      <c r="E31" s="184" t="s">
        <v>201</v>
      </c>
      <c r="F31" s="185">
        <v>14.0</v>
      </c>
      <c r="G31" s="8" t="s">
        <v>24</v>
      </c>
      <c r="H31" s="185">
        <v>23.72</v>
      </c>
      <c r="I31" s="8" t="s">
        <v>202</v>
      </c>
      <c r="J31" s="35" t="s">
        <v>24</v>
      </c>
      <c r="K31" s="188"/>
      <c r="L31" s="190"/>
      <c r="O31" s="39"/>
      <c r="P31" s="82"/>
    </row>
    <row r="32">
      <c r="B32" s="118" t="s">
        <v>205</v>
      </c>
      <c r="C32" s="118" t="s">
        <v>159</v>
      </c>
      <c r="D32" s="183">
        <v>44197.0</v>
      </c>
      <c r="E32" s="184" t="s">
        <v>201</v>
      </c>
      <c r="F32" s="185">
        <v>15.0</v>
      </c>
      <c r="G32" s="8" t="s">
        <v>24</v>
      </c>
      <c r="H32" s="185">
        <v>20.48</v>
      </c>
      <c r="I32" s="8" t="s">
        <v>202</v>
      </c>
      <c r="J32" s="35" t="s">
        <v>24</v>
      </c>
      <c r="K32" s="188"/>
      <c r="L32" s="188"/>
      <c r="O32" s="39"/>
      <c r="P32" s="82"/>
    </row>
    <row r="33">
      <c r="B33" s="118" t="s">
        <v>206</v>
      </c>
      <c r="C33" s="118" t="s">
        <v>120</v>
      </c>
      <c r="D33" s="183">
        <v>44200.0</v>
      </c>
      <c r="E33" s="184" t="s">
        <v>201</v>
      </c>
      <c r="F33" s="185">
        <v>15.1</v>
      </c>
      <c r="G33" s="8" t="s">
        <v>24</v>
      </c>
      <c r="H33" s="185">
        <v>21.42</v>
      </c>
      <c r="I33" s="8" t="s">
        <v>202</v>
      </c>
      <c r="J33" s="35" t="s">
        <v>24</v>
      </c>
      <c r="K33" s="188"/>
      <c r="L33" s="188"/>
      <c r="O33" s="39"/>
      <c r="P33" s="82"/>
    </row>
    <row r="34">
      <c r="B34" s="118" t="s">
        <v>207</v>
      </c>
      <c r="C34" s="118" t="s">
        <v>145</v>
      </c>
      <c r="D34" s="183">
        <v>44199.0</v>
      </c>
      <c r="E34" s="184" t="s">
        <v>201</v>
      </c>
      <c r="F34" s="185">
        <v>15.4</v>
      </c>
      <c r="G34" s="8" t="s">
        <v>24</v>
      </c>
      <c r="H34" s="185">
        <v>23.94</v>
      </c>
      <c r="I34" s="185">
        <v>44.84</v>
      </c>
      <c r="J34" s="35" t="s">
        <v>24</v>
      </c>
      <c r="K34" s="188"/>
      <c r="L34" s="188"/>
      <c r="O34" s="39"/>
      <c r="P34" s="82"/>
    </row>
    <row r="35">
      <c r="B35" s="118" t="s">
        <v>208</v>
      </c>
      <c r="C35" s="118" t="s">
        <v>148</v>
      </c>
      <c r="D35" s="183">
        <v>44199.0</v>
      </c>
      <c r="E35" s="184" t="s">
        <v>201</v>
      </c>
      <c r="F35" s="185">
        <v>15.5</v>
      </c>
      <c r="G35" s="8" t="s">
        <v>24</v>
      </c>
      <c r="H35" s="185">
        <v>22.92</v>
      </c>
      <c r="I35" s="8" t="s">
        <v>202</v>
      </c>
      <c r="J35" s="35" t="s">
        <v>24</v>
      </c>
      <c r="K35" s="188"/>
      <c r="L35" s="188"/>
      <c r="O35" s="39"/>
      <c r="P35" s="82"/>
    </row>
    <row r="36">
      <c r="B36" s="118" t="s">
        <v>209</v>
      </c>
      <c r="C36" s="118" t="s">
        <v>108</v>
      </c>
      <c r="D36" s="183">
        <v>44197.0</v>
      </c>
      <c r="E36" s="184" t="s">
        <v>201</v>
      </c>
      <c r="F36" s="185">
        <v>15.6</v>
      </c>
      <c r="G36" s="8" t="s">
        <v>24</v>
      </c>
      <c r="H36" s="185">
        <v>27.68</v>
      </c>
      <c r="I36" s="185">
        <v>29.88</v>
      </c>
      <c r="J36" s="35" t="s">
        <v>24</v>
      </c>
      <c r="K36" s="188"/>
      <c r="L36" s="188"/>
      <c r="O36" s="39"/>
      <c r="P36" s="82"/>
    </row>
    <row r="37">
      <c r="B37" s="118" t="s">
        <v>210</v>
      </c>
      <c r="C37" s="118" t="s">
        <v>143</v>
      </c>
      <c r="D37" s="183">
        <v>44198.0</v>
      </c>
      <c r="E37" s="184" t="s">
        <v>201</v>
      </c>
      <c r="F37" s="185">
        <v>15.6</v>
      </c>
      <c r="G37" s="8" t="s">
        <v>24</v>
      </c>
      <c r="H37" s="185">
        <v>25.09</v>
      </c>
      <c r="I37" s="185">
        <v>26.37</v>
      </c>
      <c r="J37" s="35" t="s">
        <v>24</v>
      </c>
      <c r="K37" s="188"/>
      <c r="L37" s="188"/>
      <c r="O37" s="39"/>
      <c r="P37" s="82"/>
    </row>
    <row r="38">
      <c r="B38" s="118" t="s">
        <v>211</v>
      </c>
      <c r="C38" s="118" t="s">
        <v>134</v>
      </c>
      <c r="D38" s="183">
        <v>44199.0</v>
      </c>
      <c r="E38" s="184" t="s">
        <v>201</v>
      </c>
      <c r="F38" s="185">
        <v>15.7</v>
      </c>
      <c r="G38" s="8" t="s">
        <v>24</v>
      </c>
      <c r="H38" s="185">
        <v>21.65</v>
      </c>
      <c r="I38" s="185">
        <v>39.12</v>
      </c>
      <c r="J38" s="35" t="s">
        <v>24</v>
      </c>
      <c r="K38" s="188"/>
      <c r="L38" s="188"/>
      <c r="O38" s="39"/>
      <c r="P38" s="82"/>
    </row>
    <row r="39">
      <c r="B39" s="118" t="s">
        <v>212</v>
      </c>
      <c r="C39" s="118" t="s">
        <v>100</v>
      </c>
      <c r="D39" s="183">
        <v>44197.0</v>
      </c>
      <c r="E39" s="184" t="s">
        <v>201</v>
      </c>
      <c r="F39" s="185">
        <v>16.5</v>
      </c>
      <c r="G39" s="8" t="s">
        <v>24</v>
      </c>
      <c r="H39" s="185">
        <v>26.53</v>
      </c>
      <c r="I39" s="185">
        <v>29.28</v>
      </c>
      <c r="J39" s="35" t="s">
        <v>24</v>
      </c>
      <c r="K39" s="188"/>
      <c r="L39" s="190"/>
      <c r="O39" s="39"/>
      <c r="P39" s="82"/>
    </row>
    <row r="40">
      <c r="B40" s="118" t="s">
        <v>213</v>
      </c>
      <c r="C40" s="118" t="s">
        <v>149</v>
      </c>
      <c r="D40" s="183">
        <v>44199.0</v>
      </c>
      <c r="E40" s="184" t="s">
        <v>201</v>
      </c>
      <c r="F40" s="185">
        <v>17.2</v>
      </c>
      <c r="G40" s="8" t="s">
        <v>24</v>
      </c>
      <c r="H40" s="185">
        <v>24.73</v>
      </c>
      <c r="I40" s="8" t="s">
        <v>202</v>
      </c>
      <c r="J40" s="35" t="s">
        <v>24</v>
      </c>
      <c r="K40" s="188"/>
      <c r="L40" s="188"/>
      <c r="O40" s="39"/>
      <c r="P40" s="82"/>
    </row>
    <row r="41">
      <c r="B41" s="118" t="s">
        <v>214</v>
      </c>
      <c r="C41" s="118" t="s">
        <v>158</v>
      </c>
      <c r="D41" s="183">
        <v>44197.0</v>
      </c>
      <c r="E41" s="184" t="s">
        <v>201</v>
      </c>
      <c r="F41" s="185">
        <v>17.4</v>
      </c>
      <c r="G41" s="8" t="s">
        <v>24</v>
      </c>
      <c r="H41" s="185">
        <v>29.13</v>
      </c>
      <c r="I41" s="185">
        <v>28.91</v>
      </c>
      <c r="J41" s="35" t="s">
        <v>24</v>
      </c>
      <c r="K41" s="188"/>
      <c r="L41" s="188"/>
      <c r="O41" s="39"/>
      <c r="P41" s="82"/>
    </row>
    <row r="42">
      <c r="B42" s="118" t="s">
        <v>215</v>
      </c>
      <c r="C42" s="118" t="s">
        <v>109</v>
      </c>
      <c r="D42" s="183">
        <v>44198.0</v>
      </c>
      <c r="E42" s="184" t="s">
        <v>201</v>
      </c>
      <c r="F42" s="185">
        <v>17.5</v>
      </c>
      <c r="G42" s="8" t="s">
        <v>24</v>
      </c>
      <c r="H42" s="185">
        <v>27.71</v>
      </c>
      <c r="I42" s="185">
        <v>28.42</v>
      </c>
      <c r="J42" s="35" t="s">
        <v>24</v>
      </c>
      <c r="K42" s="188"/>
      <c r="L42" s="190"/>
      <c r="O42" s="39"/>
      <c r="P42" s="82"/>
    </row>
    <row r="43">
      <c r="B43" s="118" t="s">
        <v>216</v>
      </c>
      <c r="C43" s="118" t="s">
        <v>169</v>
      </c>
      <c r="D43" s="183">
        <v>44197.0</v>
      </c>
      <c r="E43" s="184" t="s">
        <v>201</v>
      </c>
      <c r="F43" s="185">
        <v>18.9</v>
      </c>
      <c r="G43" s="8" t="s">
        <v>24</v>
      </c>
      <c r="H43" s="185">
        <v>30.06</v>
      </c>
      <c r="I43" s="185">
        <v>29.81</v>
      </c>
      <c r="J43" s="35" t="s">
        <v>24</v>
      </c>
      <c r="K43" s="188"/>
      <c r="L43" s="188"/>
      <c r="O43" s="39"/>
      <c r="P43" s="82"/>
    </row>
    <row r="44">
      <c r="B44" s="118" t="s">
        <v>217</v>
      </c>
      <c r="C44" s="118" t="s">
        <v>142</v>
      </c>
      <c r="D44" s="183">
        <v>44202.0</v>
      </c>
      <c r="E44" s="184" t="s">
        <v>201</v>
      </c>
      <c r="F44" s="185">
        <v>18.9</v>
      </c>
      <c r="G44" s="8" t="s">
        <v>24</v>
      </c>
      <c r="H44" s="185">
        <v>25.17</v>
      </c>
      <c r="I44" s="185">
        <v>34.74</v>
      </c>
      <c r="J44" s="35" t="s">
        <v>24</v>
      </c>
      <c r="K44" s="188"/>
      <c r="L44" s="188"/>
      <c r="O44" s="39"/>
      <c r="P44" s="82"/>
    </row>
    <row r="45">
      <c r="B45" s="118" t="s">
        <v>218</v>
      </c>
      <c r="C45" s="118" t="s">
        <v>164</v>
      </c>
      <c r="D45" s="183">
        <v>44198.0</v>
      </c>
      <c r="E45" s="184" t="s">
        <v>201</v>
      </c>
      <c r="F45" s="185">
        <v>19.4</v>
      </c>
      <c r="G45" s="8" t="s">
        <v>24</v>
      </c>
      <c r="H45" s="185">
        <v>26.19</v>
      </c>
      <c r="I45" s="185">
        <v>27.69</v>
      </c>
      <c r="J45" s="35" t="s">
        <v>24</v>
      </c>
      <c r="K45" s="188"/>
      <c r="L45" s="190"/>
      <c r="O45" s="39"/>
      <c r="P45" s="82"/>
    </row>
    <row r="46">
      <c r="B46" s="118" t="s">
        <v>219</v>
      </c>
      <c r="C46" s="118" t="s">
        <v>133</v>
      </c>
      <c r="D46" s="183">
        <v>44197.0</v>
      </c>
      <c r="E46" s="184" t="s">
        <v>201</v>
      </c>
      <c r="F46" s="185">
        <v>19.8</v>
      </c>
      <c r="G46" s="8" t="s">
        <v>24</v>
      </c>
      <c r="H46" s="185">
        <v>29.97</v>
      </c>
      <c r="I46" s="185">
        <v>28.32</v>
      </c>
      <c r="J46" s="35" t="s">
        <v>24</v>
      </c>
      <c r="K46" s="188"/>
      <c r="L46" s="190"/>
      <c r="O46" s="39"/>
      <c r="P46" s="82"/>
    </row>
    <row r="47">
      <c r="B47" s="118" t="s">
        <v>220</v>
      </c>
      <c r="C47" s="118" t="s">
        <v>172</v>
      </c>
      <c r="D47" s="183">
        <v>44198.0</v>
      </c>
      <c r="E47" s="184" t="s">
        <v>201</v>
      </c>
      <c r="F47" s="185">
        <v>20.0</v>
      </c>
      <c r="G47" s="8" t="s">
        <v>24</v>
      </c>
      <c r="H47" s="185">
        <v>32.66</v>
      </c>
      <c r="I47" s="185">
        <v>32.43</v>
      </c>
      <c r="J47" s="35" t="s">
        <v>24</v>
      </c>
      <c r="K47" s="188"/>
      <c r="L47" s="188"/>
      <c r="O47" s="39"/>
      <c r="P47" s="82"/>
    </row>
    <row r="48">
      <c r="B48" s="118" t="s">
        <v>221</v>
      </c>
      <c r="C48" s="118" t="s">
        <v>140</v>
      </c>
      <c r="D48" s="183">
        <v>44197.0</v>
      </c>
      <c r="E48" s="184" t="s">
        <v>201</v>
      </c>
      <c r="F48" s="185">
        <v>20.5</v>
      </c>
      <c r="G48" s="8" t="s">
        <v>24</v>
      </c>
      <c r="H48" s="185">
        <v>30.69</v>
      </c>
      <c r="I48" s="185">
        <v>29.67</v>
      </c>
      <c r="J48" s="35" t="s">
        <v>24</v>
      </c>
      <c r="K48" s="188"/>
      <c r="L48" s="190"/>
      <c r="O48" s="39"/>
      <c r="P48" s="82"/>
    </row>
    <row r="49">
      <c r="B49" s="118" t="s">
        <v>222</v>
      </c>
      <c r="C49" s="118" t="s">
        <v>115</v>
      </c>
      <c r="D49" s="183">
        <v>44197.0</v>
      </c>
      <c r="E49" s="184" t="s">
        <v>201</v>
      </c>
      <c r="F49" s="185">
        <v>21.1</v>
      </c>
      <c r="G49" s="8" t="s">
        <v>24</v>
      </c>
      <c r="H49" s="185">
        <v>28.81</v>
      </c>
      <c r="I49" s="185">
        <v>28.38</v>
      </c>
      <c r="J49" s="35" t="s">
        <v>24</v>
      </c>
      <c r="K49" s="188"/>
      <c r="L49" s="190"/>
      <c r="O49" s="39"/>
      <c r="P49" s="82"/>
    </row>
    <row r="50">
      <c r="B50" s="50" t="s">
        <v>223</v>
      </c>
      <c r="C50" s="118" t="s">
        <v>147</v>
      </c>
      <c r="D50" s="183">
        <v>44201.0</v>
      </c>
      <c r="E50" s="184" t="s">
        <v>201</v>
      </c>
      <c r="F50" s="185">
        <v>22.6</v>
      </c>
      <c r="G50" s="8" t="s">
        <v>24</v>
      </c>
      <c r="H50" s="185">
        <v>29.72</v>
      </c>
      <c r="I50" s="185">
        <v>27.85</v>
      </c>
      <c r="J50" s="35" t="s">
        <v>24</v>
      </c>
      <c r="K50" s="188"/>
      <c r="L50" s="188"/>
      <c r="O50" s="189"/>
      <c r="P50" s="82"/>
    </row>
    <row r="51">
      <c r="B51" s="118" t="s">
        <v>224</v>
      </c>
      <c r="C51" s="118" t="s">
        <v>151</v>
      </c>
      <c r="D51" s="183">
        <v>44197.0</v>
      </c>
      <c r="E51" s="184" t="s">
        <v>201</v>
      </c>
      <c r="F51" s="185">
        <v>23.2</v>
      </c>
      <c r="G51" s="8" t="s">
        <v>24</v>
      </c>
      <c r="H51" s="185">
        <v>32.03</v>
      </c>
      <c r="I51" s="185">
        <v>27.71</v>
      </c>
      <c r="J51" s="35" t="s">
        <v>24</v>
      </c>
      <c r="K51" s="188"/>
      <c r="L51" s="188"/>
      <c r="O51" s="39"/>
      <c r="P51" s="82"/>
    </row>
    <row r="52">
      <c r="B52" s="118" t="s">
        <v>225</v>
      </c>
      <c r="C52" s="118" t="s">
        <v>150</v>
      </c>
      <c r="D52" s="183">
        <v>44205.0</v>
      </c>
      <c r="E52" s="184" t="s">
        <v>201</v>
      </c>
      <c r="F52" s="185">
        <v>23.7</v>
      </c>
      <c r="G52" s="8" t="s">
        <v>24</v>
      </c>
      <c r="H52" s="185">
        <v>31.05</v>
      </c>
      <c r="I52" s="185">
        <v>31.98</v>
      </c>
      <c r="J52" s="35" t="s">
        <v>24</v>
      </c>
      <c r="K52" s="188"/>
      <c r="L52" s="188"/>
      <c r="O52" s="39"/>
      <c r="P52" s="82"/>
    </row>
    <row r="53">
      <c r="B53" s="118" t="s">
        <v>226</v>
      </c>
      <c r="C53" s="118" t="s">
        <v>136</v>
      </c>
      <c r="D53" s="183">
        <v>44198.0</v>
      </c>
      <c r="E53" s="184" t="s">
        <v>201</v>
      </c>
      <c r="F53" s="185">
        <v>24.1</v>
      </c>
      <c r="G53" s="8" t="s">
        <v>24</v>
      </c>
      <c r="H53" s="185">
        <v>32.4</v>
      </c>
      <c r="I53" s="185">
        <v>28.55</v>
      </c>
      <c r="J53" s="35" t="s">
        <v>24</v>
      </c>
      <c r="K53" s="188"/>
      <c r="L53" s="188"/>
      <c r="O53" s="39"/>
      <c r="P53" s="82"/>
    </row>
    <row r="54">
      <c r="B54" s="118" t="s">
        <v>227</v>
      </c>
      <c r="C54" s="118" t="s">
        <v>163</v>
      </c>
      <c r="D54" s="183">
        <v>44197.0</v>
      </c>
      <c r="E54" s="184" t="s">
        <v>201</v>
      </c>
      <c r="F54" s="185">
        <v>24.8</v>
      </c>
      <c r="G54" s="8" t="s">
        <v>24</v>
      </c>
      <c r="H54" s="185">
        <v>32.38</v>
      </c>
      <c r="I54" s="185">
        <v>28.19</v>
      </c>
      <c r="J54" s="35" t="s">
        <v>24</v>
      </c>
      <c r="K54" s="188"/>
      <c r="L54" s="190"/>
      <c r="O54" s="39"/>
      <c r="P54" s="82"/>
    </row>
    <row r="55">
      <c r="B55" s="118" t="s">
        <v>228</v>
      </c>
      <c r="C55" s="118" t="s">
        <v>129</v>
      </c>
      <c r="D55" s="183">
        <v>44197.0</v>
      </c>
      <c r="E55" s="184" t="s">
        <v>201</v>
      </c>
      <c r="F55" s="185">
        <v>25.1</v>
      </c>
      <c r="G55" s="8" t="s">
        <v>24</v>
      </c>
      <c r="H55" s="185">
        <v>35.05</v>
      </c>
      <c r="I55" s="185">
        <v>26.4</v>
      </c>
      <c r="J55" s="35" t="s">
        <v>24</v>
      </c>
      <c r="K55" s="188"/>
      <c r="L55" s="188"/>
      <c r="O55" s="39"/>
      <c r="P55" s="82"/>
    </row>
    <row r="56">
      <c r="B56" s="118" t="s">
        <v>229</v>
      </c>
      <c r="C56" s="118" t="s">
        <v>176</v>
      </c>
      <c r="D56" s="183">
        <v>44197.0</v>
      </c>
      <c r="E56" s="184" t="s">
        <v>201</v>
      </c>
      <c r="F56" s="185">
        <v>25.2</v>
      </c>
      <c r="G56" s="8" t="s">
        <v>24</v>
      </c>
      <c r="H56" s="185">
        <v>36.62</v>
      </c>
      <c r="I56" s="185">
        <v>30.51</v>
      </c>
      <c r="J56" s="35" t="s">
        <v>24</v>
      </c>
      <c r="K56" s="188"/>
      <c r="L56" s="188"/>
      <c r="O56" s="39"/>
      <c r="P56" s="82"/>
    </row>
    <row r="57">
      <c r="B57" s="118" t="s">
        <v>230</v>
      </c>
      <c r="C57" s="118" t="s">
        <v>174</v>
      </c>
      <c r="D57" s="183">
        <v>44198.0</v>
      </c>
      <c r="E57" s="184" t="s">
        <v>201</v>
      </c>
      <c r="F57" s="185">
        <v>25.6</v>
      </c>
      <c r="G57" s="8" t="s">
        <v>24</v>
      </c>
      <c r="H57" s="185">
        <v>37.94</v>
      </c>
      <c r="I57" s="185">
        <v>32.77</v>
      </c>
      <c r="J57" s="35" t="s">
        <v>24</v>
      </c>
      <c r="K57" s="188"/>
      <c r="L57" s="188"/>
      <c r="O57" s="39"/>
      <c r="P57" s="82"/>
    </row>
    <row r="58">
      <c r="B58" s="118" t="s">
        <v>231</v>
      </c>
      <c r="C58" s="118" t="s">
        <v>175</v>
      </c>
      <c r="D58" s="183">
        <v>44198.0</v>
      </c>
      <c r="E58" s="184" t="s">
        <v>201</v>
      </c>
      <c r="F58" s="185">
        <v>25.6</v>
      </c>
      <c r="G58" s="8" t="s">
        <v>24</v>
      </c>
      <c r="H58" s="185">
        <v>37.26</v>
      </c>
      <c r="I58" s="185">
        <v>31.28</v>
      </c>
      <c r="J58" s="35" t="s">
        <v>24</v>
      </c>
      <c r="K58" s="188"/>
      <c r="L58" s="188"/>
      <c r="O58" s="39"/>
      <c r="P58" s="82"/>
    </row>
    <row r="59">
      <c r="B59" s="118" t="s">
        <v>232</v>
      </c>
      <c r="C59" s="118" t="s">
        <v>116</v>
      </c>
      <c r="D59" s="183">
        <v>44198.0</v>
      </c>
      <c r="E59" s="184" t="s">
        <v>201</v>
      </c>
      <c r="F59" s="185">
        <v>25.7</v>
      </c>
      <c r="G59" s="8" t="s">
        <v>24</v>
      </c>
      <c r="H59" s="185">
        <v>35.56</v>
      </c>
      <c r="I59" s="185">
        <v>31.43</v>
      </c>
      <c r="J59" s="35" t="s">
        <v>24</v>
      </c>
      <c r="K59" s="188"/>
      <c r="L59" s="191"/>
      <c r="O59" s="39"/>
      <c r="P59" s="82"/>
    </row>
    <row r="60">
      <c r="B60" s="118" t="s">
        <v>233</v>
      </c>
      <c r="C60" s="118" t="s">
        <v>162</v>
      </c>
      <c r="D60" s="183">
        <v>44198.0</v>
      </c>
      <c r="E60" s="184" t="s">
        <v>201</v>
      </c>
      <c r="F60" s="185">
        <v>25.9</v>
      </c>
      <c r="G60" s="8" t="s">
        <v>24</v>
      </c>
      <c r="H60" s="185">
        <v>36.48</v>
      </c>
      <c r="I60" s="185">
        <v>30.08</v>
      </c>
      <c r="J60" s="35" t="s">
        <v>24</v>
      </c>
      <c r="K60" s="188"/>
      <c r="L60" s="190"/>
      <c r="O60" s="39"/>
      <c r="P60" s="82"/>
    </row>
    <row r="61">
      <c r="B61" s="118" t="s">
        <v>234</v>
      </c>
      <c r="C61" s="118" t="s">
        <v>105</v>
      </c>
      <c r="D61" s="183">
        <v>44201.0</v>
      </c>
      <c r="E61" s="184" t="s">
        <v>201</v>
      </c>
      <c r="F61" s="185">
        <v>26.1</v>
      </c>
      <c r="G61" s="8" t="s">
        <v>24</v>
      </c>
      <c r="H61" s="185">
        <v>33.86</v>
      </c>
      <c r="I61" s="185">
        <v>30.38</v>
      </c>
      <c r="J61" s="35" t="s">
        <v>24</v>
      </c>
      <c r="K61" s="188"/>
      <c r="L61" s="188"/>
      <c r="O61" s="39"/>
      <c r="P61" s="82"/>
    </row>
    <row r="62">
      <c r="B62" s="118" t="s">
        <v>235</v>
      </c>
      <c r="C62" s="118" t="s">
        <v>128</v>
      </c>
      <c r="D62" s="183">
        <v>44198.0</v>
      </c>
      <c r="E62" s="184" t="s">
        <v>201</v>
      </c>
      <c r="F62" s="185">
        <v>26.3</v>
      </c>
      <c r="G62" s="8" t="s">
        <v>24</v>
      </c>
      <c r="H62" s="185">
        <v>36.12</v>
      </c>
      <c r="I62" s="185">
        <v>32.04</v>
      </c>
      <c r="J62" s="35" t="s">
        <v>24</v>
      </c>
      <c r="K62" s="188"/>
      <c r="L62" s="188"/>
      <c r="O62" s="39"/>
      <c r="P62" s="82"/>
    </row>
    <row r="63">
      <c r="B63" s="118" t="s">
        <v>236</v>
      </c>
      <c r="C63" s="118" t="s">
        <v>111</v>
      </c>
      <c r="D63" s="183">
        <v>44200.0</v>
      </c>
      <c r="E63" s="184" t="s">
        <v>201</v>
      </c>
      <c r="F63" s="185">
        <v>26.4</v>
      </c>
      <c r="G63" s="8" t="s">
        <v>24</v>
      </c>
      <c r="H63" s="185">
        <v>33.78</v>
      </c>
      <c r="I63" s="185">
        <v>28.91</v>
      </c>
      <c r="J63" s="35" t="s">
        <v>24</v>
      </c>
      <c r="K63" s="188"/>
      <c r="L63" s="188"/>
      <c r="O63" s="39"/>
      <c r="P63" s="82"/>
    </row>
    <row r="64">
      <c r="B64" s="118" t="s">
        <v>237</v>
      </c>
      <c r="C64" s="118" t="s">
        <v>152</v>
      </c>
      <c r="D64" s="183">
        <v>44205.0</v>
      </c>
      <c r="E64" s="184" t="s">
        <v>201</v>
      </c>
      <c r="F64" s="185">
        <v>27.0</v>
      </c>
      <c r="G64" s="8" t="s">
        <v>24</v>
      </c>
      <c r="H64" s="185">
        <v>33.06</v>
      </c>
      <c r="I64" s="185">
        <v>28.81</v>
      </c>
      <c r="J64" s="35" t="s">
        <v>24</v>
      </c>
      <c r="K64" s="188"/>
      <c r="L64" s="188"/>
      <c r="O64" s="39"/>
      <c r="P64" s="82"/>
    </row>
    <row r="65">
      <c r="B65" s="118" t="s">
        <v>238</v>
      </c>
      <c r="C65" s="118" t="s">
        <v>118</v>
      </c>
      <c r="D65" s="183">
        <v>44200.0</v>
      </c>
      <c r="E65" s="184" t="s">
        <v>201</v>
      </c>
      <c r="F65" s="185">
        <v>27.2</v>
      </c>
      <c r="G65" s="8" t="s">
        <v>24</v>
      </c>
      <c r="H65" s="185">
        <v>36.05</v>
      </c>
      <c r="I65" s="185">
        <v>28.92</v>
      </c>
      <c r="J65" s="35" t="s">
        <v>24</v>
      </c>
      <c r="K65" s="188"/>
      <c r="L65" s="188"/>
      <c r="O65" s="39"/>
      <c r="P65" s="82"/>
    </row>
    <row r="66">
      <c r="B66" s="118" t="s">
        <v>239</v>
      </c>
      <c r="C66" s="118" t="s">
        <v>123</v>
      </c>
      <c r="D66" s="183">
        <v>44203.0</v>
      </c>
      <c r="E66" s="184" t="s">
        <v>201</v>
      </c>
      <c r="F66" s="185">
        <v>28.5</v>
      </c>
      <c r="G66" s="8" t="s">
        <v>24</v>
      </c>
      <c r="H66" s="185">
        <v>37.7</v>
      </c>
      <c r="I66" s="185">
        <v>29.46</v>
      </c>
      <c r="J66" s="35" t="s">
        <v>24</v>
      </c>
      <c r="K66" s="188"/>
      <c r="L66" s="188"/>
      <c r="O66" s="39"/>
      <c r="P66" s="82"/>
    </row>
    <row r="67">
      <c r="B67" s="192" t="s">
        <v>240</v>
      </c>
      <c r="C67" s="192" t="s">
        <v>166</v>
      </c>
      <c r="D67" s="193">
        <v>44197.0</v>
      </c>
      <c r="E67" s="194" t="s">
        <v>201</v>
      </c>
      <c r="F67" s="195">
        <v>29.0</v>
      </c>
      <c r="G67" s="196" t="s">
        <v>24</v>
      </c>
      <c r="H67" s="196" t="s">
        <v>202</v>
      </c>
      <c r="I67" s="195">
        <v>29.03</v>
      </c>
      <c r="J67" s="197" t="s">
        <v>30</v>
      </c>
      <c r="K67" s="188"/>
      <c r="L67" s="190"/>
      <c r="O67" s="39"/>
      <c r="P67" s="82"/>
    </row>
    <row r="68">
      <c r="B68" s="118" t="s">
        <v>241</v>
      </c>
      <c r="C68" s="118" t="s">
        <v>131</v>
      </c>
      <c r="D68" s="198">
        <v>44201.0</v>
      </c>
      <c r="E68" s="199" t="s">
        <v>201</v>
      </c>
      <c r="F68" s="185">
        <v>29.6</v>
      </c>
      <c r="G68" s="8" t="s">
        <v>24</v>
      </c>
      <c r="H68" s="185">
        <v>34.56</v>
      </c>
      <c r="I68" s="185">
        <v>26.97</v>
      </c>
      <c r="J68" s="35" t="s">
        <v>24</v>
      </c>
      <c r="K68" s="188"/>
      <c r="L68" s="188"/>
      <c r="O68" s="39"/>
      <c r="P68" s="82"/>
    </row>
    <row r="69">
      <c r="B69" s="50" t="s">
        <v>242</v>
      </c>
      <c r="C69" s="118" t="s">
        <v>97</v>
      </c>
      <c r="D69" s="183">
        <v>44201.0</v>
      </c>
      <c r="E69" s="184" t="s">
        <v>243</v>
      </c>
      <c r="F69" s="8" t="s">
        <v>202</v>
      </c>
      <c r="G69" s="35" t="s">
        <v>30</v>
      </c>
      <c r="H69" s="8" t="s">
        <v>202</v>
      </c>
      <c r="I69" s="185">
        <v>30.97</v>
      </c>
      <c r="J69" s="35" t="s">
        <v>30</v>
      </c>
      <c r="K69" s="188"/>
      <c r="L69" s="188"/>
      <c r="O69" s="39"/>
      <c r="P69" s="82"/>
    </row>
    <row r="70">
      <c r="B70" s="118" t="s">
        <v>244</v>
      </c>
      <c r="C70" s="118" t="s">
        <v>107</v>
      </c>
      <c r="D70" s="183">
        <v>44201.0</v>
      </c>
      <c r="E70" s="184" t="s">
        <v>243</v>
      </c>
      <c r="F70" s="8" t="s">
        <v>202</v>
      </c>
      <c r="G70" s="35" t="s">
        <v>30</v>
      </c>
      <c r="H70" s="8" t="s">
        <v>202</v>
      </c>
      <c r="I70" s="185">
        <v>27.42</v>
      </c>
      <c r="J70" s="35" t="s">
        <v>30</v>
      </c>
      <c r="K70" s="188"/>
      <c r="L70" s="188"/>
      <c r="O70" s="39"/>
      <c r="P70" s="82"/>
    </row>
    <row r="71">
      <c r="B71" s="200" t="s">
        <v>245</v>
      </c>
      <c r="C71" s="118" t="s">
        <v>117</v>
      </c>
      <c r="D71" s="183">
        <v>44201.0</v>
      </c>
      <c r="E71" s="184" t="s">
        <v>243</v>
      </c>
      <c r="F71" s="8" t="s">
        <v>202</v>
      </c>
      <c r="G71" s="35" t="s">
        <v>30</v>
      </c>
      <c r="H71" s="8" t="s">
        <v>202</v>
      </c>
      <c r="I71" s="185">
        <v>30.04</v>
      </c>
      <c r="J71" s="35" t="s">
        <v>30</v>
      </c>
      <c r="K71" s="188"/>
      <c r="L71" s="188"/>
      <c r="O71" s="39"/>
      <c r="P71" s="82"/>
    </row>
    <row r="72">
      <c r="B72" s="118" t="s">
        <v>246</v>
      </c>
      <c r="C72" s="118" t="s">
        <v>137</v>
      </c>
      <c r="D72" s="183">
        <v>44209.0</v>
      </c>
      <c r="E72" s="184" t="s">
        <v>201</v>
      </c>
      <c r="F72" s="8" t="s">
        <v>202</v>
      </c>
      <c r="G72" s="35" t="s">
        <v>30</v>
      </c>
      <c r="H72" s="8" t="s">
        <v>202</v>
      </c>
      <c r="I72" s="185">
        <v>32.08</v>
      </c>
      <c r="J72" s="35" t="s">
        <v>30</v>
      </c>
      <c r="K72" s="188"/>
      <c r="L72" s="188"/>
      <c r="O72" s="39"/>
      <c r="P72" s="82"/>
    </row>
    <row r="73">
      <c r="B73" s="200" t="s">
        <v>247</v>
      </c>
      <c r="C73" s="118" t="s">
        <v>157</v>
      </c>
      <c r="D73" s="183">
        <v>44210.0</v>
      </c>
      <c r="E73" s="184" t="s">
        <v>201</v>
      </c>
      <c r="F73" s="8" t="s">
        <v>202</v>
      </c>
      <c r="G73" s="35" t="s">
        <v>30</v>
      </c>
      <c r="H73" s="8" t="s">
        <v>202</v>
      </c>
      <c r="I73" s="185">
        <v>30.23</v>
      </c>
      <c r="J73" s="35" t="s">
        <v>30</v>
      </c>
      <c r="K73" s="201"/>
      <c r="L73" s="188"/>
      <c r="O73" s="39"/>
      <c r="P73" s="82"/>
    </row>
    <row r="74">
      <c r="B74" s="118" t="s">
        <v>248</v>
      </c>
      <c r="C74" s="118" t="s">
        <v>167</v>
      </c>
      <c r="D74" s="183">
        <v>44209.0</v>
      </c>
      <c r="E74" s="184" t="s">
        <v>201</v>
      </c>
      <c r="F74" s="8" t="s">
        <v>202</v>
      </c>
      <c r="G74" s="35" t="s">
        <v>30</v>
      </c>
      <c r="H74" s="8" t="s">
        <v>202</v>
      </c>
      <c r="I74" s="185">
        <v>33.37</v>
      </c>
      <c r="J74" s="35" t="s">
        <v>30</v>
      </c>
      <c r="K74" s="188"/>
      <c r="L74" s="188"/>
      <c r="O74" s="39"/>
      <c r="P74" s="82"/>
    </row>
    <row r="75">
      <c r="B75" s="118" t="s">
        <v>249</v>
      </c>
      <c r="C75" s="118" t="s">
        <v>98</v>
      </c>
      <c r="D75" s="183">
        <v>44209.0</v>
      </c>
      <c r="E75" s="184" t="s">
        <v>201</v>
      </c>
      <c r="F75" s="8" t="s">
        <v>202</v>
      </c>
      <c r="G75" s="35" t="s">
        <v>30</v>
      </c>
      <c r="H75" s="8" t="s">
        <v>202</v>
      </c>
      <c r="I75" s="185">
        <v>27.92</v>
      </c>
      <c r="J75" s="35" t="s">
        <v>30</v>
      </c>
      <c r="K75" s="188"/>
      <c r="L75" s="188"/>
      <c r="O75" s="39"/>
      <c r="P75" s="82"/>
    </row>
    <row r="76">
      <c r="B76" s="118" t="s">
        <v>250</v>
      </c>
      <c r="C76" s="118" t="s">
        <v>138</v>
      </c>
      <c r="D76" s="183">
        <v>44209.0</v>
      </c>
      <c r="E76" s="184" t="s">
        <v>201</v>
      </c>
      <c r="F76" s="8" t="s">
        <v>202</v>
      </c>
      <c r="G76" s="35" t="s">
        <v>30</v>
      </c>
      <c r="H76" s="185">
        <v>41.31</v>
      </c>
      <c r="I76" s="185">
        <v>29.64</v>
      </c>
      <c r="J76" s="35" t="s">
        <v>30</v>
      </c>
      <c r="K76" s="188"/>
      <c r="L76" s="188"/>
      <c r="O76" s="39"/>
      <c r="P76" s="82"/>
    </row>
    <row r="77">
      <c r="B77" s="118" t="s">
        <v>251</v>
      </c>
      <c r="C77" s="118" t="s">
        <v>168</v>
      </c>
      <c r="D77" s="183">
        <v>44210.0</v>
      </c>
      <c r="E77" s="184" t="s">
        <v>201</v>
      </c>
      <c r="F77" s="8" t="s">
        <v>202</v>
      </c>
      <c r="G77" s="35" t="s">
        <v>30</v>
      </c>
      <c r="H77" s="8" t="s">
        <v>202</v>
      </c>
      <c r="I77" s="185">
        <v>34.26</v>
      </c>
      <c r="J77" s="35" t="s">
        <v>30</v>
      </c>
      <c r="K77" s="188"/>
      <c r="L77" s="188"/>
      <c r="O77" s="39"/>
      <c r="P77" s="82"/>
    </row>
    <row r="78">
      <c r="B78" s="118" t="s">
        <v>252</v>
      </c>
      <c r="C78" s="118" t="s">
        <v>99</v>
      </c>
      <c r="D78" s="183">
        <v>44210.0</v>
      </c>
      <c r="E78" s="184" t="s">
        <v>201</v>
      </c>
      <c r="F78" s="8" t="s">
        <v>202</v>
      </c>
      <c r="G78" s="35" t="s">
        <v>30</v>
      </c>
      <c r="H78" s="185">
        <v>42.58</v>
      </c>
      <c r="I78" s="185">
        <v>28.19</v>
      </c>
      <c r="J78" s="35" t="s">
        <v>30</v>
      </c>
      <c r="K78" s="188"/>
      <c r="L78" s="188"/>
      <c r="O78" s="39"/>
      <c r="P78" s="82"/>
    </row>
    <row r="79">
      <c r="B79" s="118" t="s">
        <v>253</v>
      </c>
      <c r="C79" s="118" t="s">
        <v>119</v>
      </c>
      <c r="D79" s="183">
        <v>44209.0</v>
      </c>
      <c r="E79" s="184" t="s">
        <v>201</v>
      </c>
      <c r="F79" s="8" t="s">
        <v>202</v>
      </c>
      <c r="G79" s="35" t="s">
        <v>30</v>
      </c>
      <c r="H79" s="8" t="s">
        <v>202</v>
      </c>
      <c r="I79" s="185">
        <v>27.43</v>
      </c>
      <c r="J79" s="35" t="s">
        <v>30</v>
      </c>
      <c r="K79" s="188"/>
      <c r="L79" s="188"/>
      <c r="O79" s="39"/>
      <c r="P79" s="82"/>
    </row>
    <row r="80">
      <c r="B80" s="118" t="s">
        <v>254</v>
      </c>
      <c r="C80" s="118" t="s">
        <v>139</v>
      </c>
      <c r="D80" s="183">
        <v>44210.0</v>
      </c>
      <c r="E80" s="184" t="s">
        <v>201</v>
      </c>
      <c r="F80" s="8" t="s">
        <v>202</v>
      </c>
      <c r="G80" s="35" t="s">
        <v>30</v>
      </c>
      <c r="H80" s="8" t="s">
        <v>202</v>
      </c>
      <c r="I80" s="185">
        <v>33.75</v>
      </c>
      <c r="J80" s="35" t="s">
        <v>30</v>
      </c>
      <c r="K80" s="188"/>
      <c r="L80" s="188"/>
      <c r="O80" s="39"/>
      <c r="P80" s="82"/>
    </row>
    <row r="81">
      <c r="B81" s="118" t="s">
        <v>255</v>
      </c>
      <c r="C81" s="118" t="s">
        <v>110</v>
      </c>
      <c r="D81" s="183">
        <v>44200.0</v>
      </c>
      <c r="E81" s="184" t="s">
        <v>201</v>
      </c>
      <c r="F81" s="8" t="s">
        <v>202</v>
      </c>
      <c r="G81" s="35" t="s">
        <v>30</v>
      </c>
      <c r="H81" s="8" t="s">
        <v>202</v>
      </c>
      <c r="I81" s="185">
        <v>34.12</v>
      </c>
      <c r="J81" s="35" t="s">
        <v>30</v>
      </c>
      <c r="K81" s="188"/>
      <c r="L81" s="188"/>
      <c r="O81" s="39"/>
      <c r="P81" s="82"/>
    </row>
    <row r="82">
      <c r="B82" s="118" t="s">
        <v>256</v>
      </c>
      <c r="C82" s="118" t="s">
        <v>130</v>
      </c>
      <c r="D82" s="183">
        <v>44199.0</v>
      </c>
      <c r="E82" s="184" t="s">
        <v>201</v>
      </c>
      <c r="F82" s="8" t="s">
        <v>202</v>
      </c>
      <c r="G82" s="35" t="s">
        <v>30</v>
      </c>
      <c r="H82" s="8" t="s">
        <v>202</v>
      </c>
      <c r="I82" s="185">
        <v>28.02</v>
      </c>
      <c r="J82" s="35" t="s">
        <v>30</v>
      </c>
      <c r="K82" s="188"/>
      <c r="L82" s="188"/>
      <c r="O82" s="39"/>
      <c r="P82" s="82"/>
    </row>
    <row r="83">
      <c r="B83" s="118" t="s">
        <v>257</v>
      </c>
      <c r="C83" s="118" t="s">
        <v>160</v>
      </c>
      <c r="D83" s="183">
        <v>44200.0</v>
      </c>
      <c r="E83" s="184" t="s">
        <v>243</v>
      </c>
      <c r="F83" s="8" t="s">
        <v>202</v>
      </c>
      <c r="G83" s="35" t="s">
        <v>30</v>
      </c>
      <c r="H83" s="8" t="s">
        <v>202</v>
      </c>
      <c r="I83" s="185">
        <v>33.19</v>
      </c>
      <c r="J83" s="35" t="s">
        <v>30</v>
      </c>
      <c r="K83" s="188"/>
      <c r="L83" s="188"/>
      <c r="O83" s="39"/>
      <c r="P83" s="82"/>
    </row>
    <row r="84">
      <c r="B84" s="118" t="s">
        <v>258</v>
      </c>
      <c r="C84" s="118" t="s">
        <v>170</v>
      </c>
      <c r="D84" s="183">
        <v>44199.0</v>
      </c>
      <c r="E84" s="184" t="s">
        <v>201</v>
      </c>
      <c r="F84" s="8" t="s">
        <v>202</v>
      </c>
      <c r="G84" s="35" t="s">
        <v>30</v>
      </c>
      <c r="H84" s="8" t="s">
        <v>202</v>
      </c>
      <c r="I84" s="185">
        <v>28.2</v>
      </c>
      <c r="J84" s="35" t="s">
        <v>30</v>
      </c>
      <c r="K84" s="188"/>
      <c r="L84" s="188"/>
      <c r="O84" s="39"/>
      <c r="P84" s="82"/>
    </row>
    <row r="85">
      <c r="B85" s="118" t="s">
        <v>259</v>
      </c>
      <c r="C85" s="118" t="s">
        <v>101</v>
      </c>
      <c r="D85" s="183">
        <v>44201.0</v>
      </c>
      <c r="E85" s="184" t="s">
        <v>201</v>
      </c>
      <c r="F85" s="8" t="s">
        <v>202</v>
      </c>
      <c r="G85" s="35" t="s">
        <v>30</v>
      </c>
      <c r="H85" s="8" t="s">
        <v>202</v>
      </c>
      <c r="I85" s="185">
        <v>33.11</v>
      </c>
      <c r="J85" s="35" t="s">
        <v>30</v>
      </c>
      <c r="K85" s="188"/>
      <c r="L85" s="188"/>
      <c r="O85" s="39"/>
      <c r="P85" s="82"/>
    </row>
    <row r="86">
      <c r="B86" s="118" t="s">
        <v>260</v>
      </c>
      <c r="C86" s="118" t="s">
        <v>141</v>
      </c>
      <c r="D86" s="183">
        <v>44201.0</v>
      </c>
      <c r="E86" s="184" t="s">
        <v>201</v>
      </c>
      <c r="F86" s="8" t="s">
        <v>202</v>
      </c>
      <c r="G86" s="35" t="s">
        <v>30</v>
      </c>
      <c r="H86" s="8" t="s">
        <v>202</v>
      </c>
      <c r="I86" s="185">
        <v>32.45</v>
      </c>
      <c r="J86" s="35" t="s">
        <v>30</v>
      </c>
      <c r="K86" s="188"/>
      <c r="L86" s="188"/>
      <c r="O86" s="39"/>
      <c r="P86" s="82"/>
    </row>
    <row r="87">
      <c r="B87" s="118" t="s">
        <v>261</v>
      </c>
      <c r="C87" s="118" t="s">
        <v>161</v>
      </c>
      <c r="D87" s="183">
        <v>44201.0</v>
      </c>
      <c r="E87" s="184" t="s">
        <v>201</v>
      </c>
      <c r="F87" s="8" t="s">
        <v>202</v>
      </c>
      <c r="G87" s="35" t="s">
        <v>30</v>
      </c>
      <c r="H87" s="8" t="s">
        <v>202</v>
      </c>
      <c r="I87" s="185">
        <v>34.66</v>
      </c>
      <c r="J87" s="35" t="s">
        <v>30</v>
      </c>
      <c r="K87" s="188"/>
      <c r="L87" s="188"/>
      <c r="O87" s="39"/>
      <c r="P87" s="82"/>
    </row>
    <row r="88">
      <c r="B88" s="118" t="s">
        <v>262</v>
      </c>
      <c r="C88" s="118" t="s">
        <v>171</v>
      </c>
      <c r="D88" s="183">
        <v>44201.0</v>
      </c>
      <c r="E88" s="184" t="s">
        <v>201</v>
      </c>
      <c r="F88" s="8" t="s">
        <v>202</v>
      </c>
      <c r="G88" s="35" t="s">
        <v>30</v>
      </c>
      <c r="H88" s="8" t="s">
        <v>202</v>
      </c>
      <c r="I88" s="185">
        <v>31.07</v>
      </c>
      <c r="J88" s="35" t="s">
        <v>30</v>
      </c>
      <c r="K88" s="188"/>
      <c r="L88" s="188"/>
      <c r="O88" s="39"/>
      <c r="P88" s="82"/>
    </row>
    <row r="89">
      <c r="B89" s="118" t="s">
        <v>263</v>
      </c>
      <c r="C89" s="118" t="s">
        <v>102</v>
      </c>
      <c r="D89" s="183">
        <v>44201.0</v>
      </c>
      <c r="E89" s="184" t="s">
        <v>201</v>
      </c>
      <c r="F89" s="8" t="s">
        <v>202</v>
      </c>
      <c r="G89" s="35" t="s">
        <v>30</v>
      </c>
      <c r="H89" s="8" t="s">
        <v>202</v>
      </c>
      <c r="I89" s="185">
        <v>30.7</v>
      </c>
      <c r="J89" s="35" t="s">
        <v>30</v>
      </c>
      <c r="K89" s="188"/>
      <c r="L89" s="188"/>
      <c r="O89" s="39"/>
      <c r="P89" s="82"/>
    </row>
    <row r="90">
      <c r="B90" s="200" t="s">
        <v>264</v>
      </c>
      <c r="C90" s="118" t="s">
        <v>112</v>
      </c>
      <c r="D90" s="183">
        <v>44201.0</v>
      </c>
      <c r="E90" s="184" t="s">
        <v>201</v>
      </c>
      <c r="F90" s="8" t="s">
        <v>202</v>
      </c>
      <c r="G90" s="35" t="s">
        <v>30</v>
      </c>
      <c r="H90" s="8" t="s">
        <v>202</v>
      </c>
      <c r="I90" s="185">
        <v>30.29</v>
      </c>
      <c r="J90" s="35" t="s">
        <v>30</v>
      </c>
      <c r="K90" s="188"/>
      <c r="L90" s="188"/>
      <c r="O90" s="39"/>
      <c r="P90" s="82"/>
    </row>
    <row r="91">
      <c r="B91" s="118" t="s">
        <v>265</v>
      </c>
      <c r="C91" s="118" t="s">
        <v>122</v>
      </c>
      <c r="D91" s="183">
        <v>44201.0</v>
      </c>
      <c r="E91" s="184" t="s">
        <v>243</v>
      </c>
      <c r="F91" s="8" t="s">
        <v>202</v>
      </c>
      <c r="G91" s="35" t="s">
        <v>30</v>
      </c>
      <c r="H91" s="8" t="s">
        <v>202</v>
      </c>
      <c r="I91" s="185">
        <v>27.04</v>
      </c>
      <c r="J91" s="35" t="s">
        <v>30</v>
      </c>
      <c r="K91" s="188"/>
      <c r="L91" s="188"/>
      <c r="O91" s="202"/>
      <c r="P91" s="82"/>
    </row>
    <row r="92">
      <c r="B92" s="200" t="s">
        <v>266</v>
      </c>
      <c r="C92" s="118" t="s">
        <v>132</v>
      </c>
      <c r="D92" s="183">
        <v>44201.0</v>
      </c>
      <c r="E92" s="184" t="s">
        <v>243</v>
      </c>
      <c r="F92" s="8" t="s">
        <v>202</v>
      </c>
      <c r="G92" s="35" t="s">
        <v>30</v>
      </c>
      <c r="H92" s="8" t="s">
        <v>202</v>
      </c>
      <c r="I92" s="185">
        <v>32.49</v>
      </c>
      <c r="J92" s="35" t="s">
        <v>30</v>
      </c>
      <c r="K92" s="188"/>
      <c r="L92" s="188"/>
      <c r="O92" s="39"/>
      <c r="P92" s="82"/>
    </row>
    <row r="93">
      <c r="B93" s="118" t="s">
        <v>267</v>
      </c>
      <c r="C93" s="118" t="s">
        <v>103</v>
      </c>
      <c r="D93" s="183">
        <v>44200.0</v>
      </c>
      <c r="E93" s="184" t="s">
        <v>243</v>
      </c>
      <c r="F93" s="8" t="s">
        <v>202</v>
      </c>
      <c r="G93" s="35" t="s">
        <v>30</v>
      </c>
      <c r="H93" s="8" t="s">
        <v>202</v>
      </c>
      <c r="I93" s="185">
        <v>30.8</v>
      </c>
      <c r="J93" s="35" t="s">
        <v>30</v>
      </c>
      <c r="K93" s="188"/>
      <c r="L93" s="188"/>
      <c r="O93" s="39"/>
      <c r="P93" s="82"/>
    </row>
    <row r="94">
      <c r="B94" s="200" t="s">
        <v>268</v>
      </c>
      <c r="C94" s="118" t="s">
        <v>113</v>
      </c>
      <c r="D94" s="183">
        <v>44200.0</v>
      </c>
      <c r="E94" s="184" t="s">
        <v>201</v>
      </c>
      <c r="F94" s="8" t="s">
        <v>202</v>
      </c>
      <c r="G94" s="35" t="s">
        <v>30</v>
      </c>
      <c r="H94" s="8" t="s">
        <v>202</v>
      </c>
      <c r="I94" s="185">
        <v>26.1</v>
      </c>
      <c r="J94" s="35" t="s">
        <v>30</v>
      </c>
      <c r="K94" s="188"/>
      <c r="L94" s="188"/>
      <c r="O94" s="39"/>
      <c r="P94" s="82"/>
    </row>
    <row r="95">
      <c r="B95" s="118" t="s">
        <v>269</v>
      </c>
      <c r="C95" s="118" t="s">
        <v>153</v>
      </c>
      <c r="D95" s="183">
        <v>44200.0</v>
      </c>
      <c r="E95" s="184" t="s">
        <v>201</v>
      </c>
      <c r="F95" s="8" t="s">
        <v>202</v>
      </c>
      <c r="G95" s="35" t="s">
        <v>30</v>
      </c>
      <c r="H95" s="8" t="s">
        <v>202</v>
      </c>
      <c r="I95" s="185">
        <v>32.28</v>
      </c>
      <c r="J95" s="35" t="s">
        <v>30</v>
      </c>
      <c r="K95" s="188"/>
      <c r="L95" s="188"/>
      <c r="O95" s="39"/>
      <c r="P95" s="82"/>
    </row>
    <row r="96">
      <c r="B96" s="118" t="s">
        <v>270</v>
      </c>
      <c r="C96" s="118" t="s">
        <v>104</v>
      </c>
      <c r="D96" s="183">
        <v>44200.0</v>
      </c>
      <c r="E96" s="184" t="s">
        <v>243</v>
      </c>
      <c r="F96" s="8" t="s">
        <v>202</v>
      </c>
      <c r="G96" s="35" t="s">
        <v>30</v>
      </c>
      <c r="H96" s="8" t="s">
        <v>202</v>
      </c>
      <c r="I96" s="185">
        <v>32.53</v>
      </c>
      <c r="J96" s="35" t="s">
        <v>30</v>
      </c>
      <c r="K96" s="188"/>
      <c r="L96" s="188"/>
      <c r="O96" s="202"/>
      <c r="P96" s="82"/>
    </row>
    <row r="97">
      <c r="B97" s="118" t="s">
        <v>271</v>
      </c>
      <c r="C97" s="118" t="s">
        <v>114</v>
      </c>
      <c r="D97" s="183">
        <v>44200.0</v>
      </c>
      <c r="E97" s="184" t="s">
        <v>243</v>
      </c>
      <c r="F97" s="8" t="s">
        <v>202</v>
      </c>
      <c r="G97" s="35" t="s">
        <v>30</v>
      </c>
      <c r="H97" s="8" t="s">
        <v>202</v>
      </c>
      <c r="I97" s="185">
        <v>33.38</v>
      </c>
      <c r="J97" s="35" t="s">
        <v>30</v>
      </c>
      <c r="K97" s="188"/>
      <c r="L97" s="188"/>
      <c r="O97" s="39"/>
    </row>
    <row r="98">
      <c r="B98" s="118" t="s">
        <v>272</v>
      </c>
      <c r="C98" s="118" t="s">
        <v>124</v>
      </c>
      <c r="D98" s="183">
        <v>44200.0</v>
      </c>
      <c r="E98" s="184" t="s">
        <v>243</v>
      </c>
      <c r="F98" s="8" t="s">
        <v>202</v>
      </c>
      <c r="G98" s="35" t="s">
        <v>30</v>
      </c>
      <c r="H98" s="8" t="s">
        <v>202</v>
      </c>
      <c r="I98" s="185">
        <v>30.01</v>
      </c>
      <c r="J98" s="35" t="s">
        <v>30</v>
      </c>
      <c r="K98" s="188"/>
      <c r="L98" s="188"/>
      <c r="O98" s="39"/>
    </row>
    <row r="99">
      <c r="B99" s="118" t="s">
        <v>273</v>
      </c>
      <c r="C99" s="118" t="s">
        <v>144</v>
      </c>
      <c r="D99" s="183">
        <v>44200.0</v>
      </c>
      <c r="E99" s="184" t="s">
        <v>201</v>
      </c>
      <c r="F99" s="8" t="s">
        <v>202</v>
      </c>
      <c r="G99" s="35" t="s">
        <v>30</v>
      </c>
      <c r="H99" s="8" t="s">
        <v>202</v>
      </c>
      <c r="I99" s="185">
        <v>33.07</v>
      </c>
      <c r="J99" s="35" t="s">
        <v>30</v>
      </c>
      <c r="K99" s="188"/>
      <c r="L99" s="188"/>
      <c r="O99" s="39"/>
    </row>
    <row r="100">
      <c r="B100" s="118" t="s">
        <v>274</v>
      </c>
      <c r="C100" s="118" t="s">
        <v>154</v>
      </c>
      <c r="D100" s="183">
        <v>44200.0</v>
      </c>
      <c r="E100" s="184" t="s">
        <v>243</v>
      </c>
      <c r="F100" s="8" t="s">
        <v>202</v>
      </c>
      <c r="G100" s="35" t="s">
        <v>30</v>
      </c>
      <c r="H100" s="8" t="s">
        <v>202</v>
      </c>
      <c r="I100" s="185">
        <v>29.73</v>
      </c>
      <c r="J100" s="35" t="s">
        <v>30</v>
      </c>
      <c r="K100" s="188"/>
      <c r="L100" s="188"/>
      <c r="O100" s="39"/>
    </row>
    <row r="101">
      <c r="B101" s="118" t="s">
        <v>275</v>
      </c>
      <c r="C101" s="118" t="s">
        <v>125</v>
      </c>
      <c r="D101" s="183">
        <v>44200.0</v>
      </c>
      <c r="E101" s="184" t="s">
        <v>201</v>
      </c>
      <c r="F101" s="8" t="s">
        <v>202</v>
      </c>
      <c r="G101" s="35" t="s">
        <v>30</v>
      </c>
      <c r="H101" s="8" t="s">
        <v>202</v>
      </c>
      <c r="I101" s="185">
        <v>32.72</v>
      </c>
      <c r="J101" s="35" t="s">
        <v>30</v>
      </c>
      <c r="K101" s="188"/>
      <c r="L101" s="188"/>
      <c r="O101" s="39"/>
    </row>
    <row r="102">
      <c r="B102" s="118" t="s">
        <v>276</v>
      </c>
      <c r="C102" s="118" t="s">
        <v>135</v>
      </c>
      <c r="D102" s="183">
        <v>44200.0</v>
      </c>
      <c r="E102" s="184" t="s">
        <v>201</v>
      </c>
      <c r="F102" s="8" t="s">
        <v>202</v>
      </c>
      <c r="G102" s="35" t="s">
        <v>30</v>
      </c>
      <c r="H102" s="8" t="s">
        <v>202</v>
      </c>
      <c r="I102" s="185">
        <v>29.25</v>
      </c>
      <c r="J102" s="35" t="s">
        <v>30</v>
      </c>
      <c r="K102" s="188"/>
      <c r="L102" s="188"/>
      <c r="O102" s="39"/>
    </row>
    <row r="103">
      <c r="B103" s="118" t="s">
        <v>277</v>
      </c>
      <c r="C103" s="118" t="s">
        <v>155</v>
      </c>
      <c r="D103" s="183">
        <v>44200.0</v>
      </c>
      <c r="E103" s="184" t="s">
        <v>201</v>
      </c>
      <c r="F103" s="8" t="s">
        <v>202</v>
      </c>
      <c r="G103" s="35" t="s">
        <v>30</v>
      </c>
      <c r="H103" s="8" t="s">
        <v>202</v>
      </c>
      <c r="I103" s="185">
        <v>27.54</v>
      </c>
      <c r="J103" s="35" t="s">
        <v>30</v>
      </c>
      <c r="K103" s="188"/>
      <c r="L103" s="188"/>
      <c r="O103" s="39"/>
    </row>
    <row r="104">
      <c r="B104" s="118" t="s">
        <v>278</v>
      </c>
      <c r="C104" s="118" t="s">
        <v>165</v>
      </c>
      <c r="D104" s="183">
        <v>44200.0</v>
      </c>
      <c r="E104" s="184" t="s">
        <v>201</v>
      </c>
      <c r="F104" s="8" t="s">
        <v>202</v>
      </c>
      <c r="G104" s="35" t="s">
        <v>30</v>
      </c>
      <c r="H104" s="8" t="s">
        <v>202</v>
      </c>
      <c r="I104" s="185">
        <v>27.88</v>
      </c>
      <c r="J104" s="35" t="s">
        <v>30</v>
      </c>
      <c r="K104" s="188"/>
      <c r="L104" s="188"/>
      <c r="O104" s="39"/>
    </row>
    <row r="105">
      <c r="B105" s="118" t="s">
        <v>279</v>
      </c>
      <c r="C105" s="118" t="s">
        <v>106</v>
      </c>
      <c r="D105" s="183">
        <v>44209.0</v>
      </c>
      <c r="E105" s="184" t="s">
        <v>201</v>
      </c>
      <c r="F105" s="8" t="s">
        <v>202</v>
      </c>
      <c r="G105" s="35" t="s">
        <v>30</v>
      </c>
      <c r="H105" s="185">
        <v>44.42</v>
      </c>
      <c r="I105" s="185">
        <v>32.61</v>
      </c>
      <c r="J105" s="35" t="s">
        <v>30</v>
      </c>
      <c r="K105" s="188"/>
      <c r="L105" s="188"/>
      <c r="O105" s="39"/>
    </row>
    <row r="106">
      <c r="B106" s="118" t="s">
        <v>280</v>
      </c>
      <c r="C106" s="118" t="s">
        <v>126</v>
      </c>
      <c r="D106" s="183">
        <v>44209.0</v>
      </c>
      <c r="E106" s="184" t="s">
        <v>201</v>
      </c>
      <c r="F106" s="8" t="s">
        <v>202</v>
      </c>
      <c r="G106" s="35" t="s">
        <v>30</v>
      </c>
      <c r="H106" s="8" t="s">
        <v>202</v>
      </c>
      <c r="I106" s="185">
        <v>32.92</v>
      </c>
      <c r="J106" s="35" t="s">
        <v>30</v>
      </c>
      <c r="K106" s="188"/>
      <c r="L106" s="188"/>
      <c r="O106" s="39"/>
    </row>
    <row r="107">
      <c r="B107" s="118" t="s">
        <v>281</v>
      </c>
      <c r="C107" s="118" t="s">
        <v>146</v>
      </c>
      <c r="D107" s="183">
        <v>44209.0</v>
      </c>
      <c r="E107" s="184" t="s">
        <v>201</v>
      </c>
      <c r="F107" s="8" t="s">
        <v>202</v>
      </c>
      <c r="G107" s="35" t="s">
        <v>30</v>
      </c>
      <c r="H107" s="8" t="s">
        <v>202</v>
      </c>
      <c r="I107" s="185">
        <v>29.74</v>
      </c>
      <c r="J107" s="35" t="s">
        <v>30</v>
      </c>
      <c r="K107" s="188"/>
      <c r="L107" s="188"/>
    </row>
    <row r="108">
      <c r="B108" s="118" t="s">
        <v>282</v>
      </c>
      <c r="C108" s="118" t="s">
        <v>156</v>
      </c>
      <c r="D108" s="183">
        <v>44209.0</v>
      </c>
      <c r="E108" s="184" t="s">
        <v>201</v>
      </c>
      <c r="F108" s="8" t="s">
        <v>202</v>
      </c>
      <c r="G108" s="35" t="s">
        <v>30</v>
      </c>
      <c r="H108" s="8" t="s">
        <v>202</v>
      </c>
      <c r="I108" s="185">
        <v>31.53</v>
      </c>
      <c r="J108" s="35" t="s">
        <v>30</v>
      </c>
      <c r="K108" s="188"/>
      <c r="L108" s="188"/>
    </row>
    <row r="109">
      <c r="B109" s="118" t="s">
        <v>283</v>
      </c>
      <c r="C109" s="118" t="s">
        <v>10</v>
      </c>
      <c r="D109" s="8" t="s">
        <v>27</v>
      </c>
      <c r="E109" s="8" t="s">
        <v>27</v>
      </c>
      <c r="F109" s="8" t="s">
        <v>27</v>
      </c>
      <c r="G109" s="8" t="s">
        <v>27</v>
      </c>
      <c r="H109" s="8" t="s">
        <v>202</v>
      </c>
      <c r="I109" s="8" t="s">
        <v>202</v>
      </c>
      <c r="J109" s="35" t="s">
        <v>30</v>
      </c>
      <c r="M109" s="203"/>
      <c r="N109" s="204"/>
    </row>
    <row r="110">
      <c r="B110" s="118" t="s">
        <v>284</v>
      </c>
      <c r="C110" s="118" t="s">
        <v>11</v>
      </c>
      <c r="D110" s="8" t="s">
        <v>27</v>
      </c>
      <c r="E110" s="8" t="s">
        <v>27</v>
      </c>
      <c r="F110" s="8" t="s">
        <v>27</v>
      </c>
      <c r="G110" s="8" t="s">
        <v>27</v>
      </c>
      <c r="H110" s="185">
        <v>34.15</v>
      </c>
      <c r="I110" s="185">
        <v>32.1</v>
      </c>
      <c r="J110" s="35" t="s">
        <v>24</v>
      </c>
      <c r="M110" s="203"/>
      <c r="N110" s="204"/>
    </row>
    <row r="111">
      <c r="K111" s="203"/>
      <c r="L111" s="204"/>
    </row>
    <row r="112">
      <c r="K112" s="203"/>
      <c r="L112" s="204"/>
    </row>
    <row r="113">
      <c r="K113" s="203"/>
      <c r="L113" s="204"/>
    </row>
    <row r="114">
      <c r="K114" s="203"/>
      <c r="L114" s="204"/>
    </row>
    <row r="115">
      <c r="K115" s="203"/>
      <c r="L115" s="204"/>
    </row>
    <row r="116">
      <c r="K116" s="203"/>
      <c r="L116" s="204"/>
    </row>
    <row r="117">
      <c r="K117" s="203"/>
      <c r="L117" s="204"/>
    </row>
    <row r="118">
      <c r="K118" s="203"/>
      <c r="L118" s="204"/>
    </row>
    <row r="119">
      <c r="K119" s="203"/>
      <c r="L119" s="204"/>
    </row>
    <row r="120">
      <c r="K120" s="203"/>
      <c r="L120" s="204"/>
    </row>
    <row r="121">
      <c r="K121" s="203"/>
      <c r="L121" s="204"/>
    </row>
    <row r="122">
      <c r="K122" s="203"/>
      <c r="L122" s="204"/>
    </row>
    <row r="123">
      <c r="K123" s="203"/>
      <c r="L123" s="204"/>
    </row>
    <row r="124">
      <c r="K124" s="203"/>
      <c r="L124" s="204"/>
    </row>
    <row r="125">
      <c r="K125" s="203"/>
      <c r="L125" s="204"/>
    </row>
    <row r="126">
      <c r="K126" s="203"/>
      <c r="L126" s="204"/>
    </row>
    <row r="127">
      <c r="K127" s="203"/>
      <c r="L127" s="204"/>
    </row>
    <row r="128">
      <c r="K128" s="203"/>
      <c r="L128" s="204"/>
    </row>
    <row r="129">
      <c r="K129" s="203"/>
      <c r="L129" s="204"/>
    </row>
    <row r="130">
      <c r="K130" s="203"/>
      <c r="L130" s="204"/>
    </row>
    <row r="131">
      <c r="K131" s="203"/>
      <c r="L131" s="204"/>
    </row>
    <row r="132">
      <c r="K132" s="203"/>
      <c r="L132" s="204"/>
    </row>
    <row r="133">
      <c r="K133" s="203"/>
      <c r="L133" s="204"/>
    </row>
    <row r="134">
      <c r="K134" s="203"/>
      <c r="L134" s="204"/>
    </row>
    <row r="135">
      <c r="K135" s="203"/>
      <c r="L135" s="204"/>
    </row>
    <row r="136">
      <c r="K136" s="203"/>
      <c r="L136" s="204"/>
    </row>
    <row r="137">
      <c r="K137" s="203"/>
      <c r="L137" s="204"/>
    </row>
    <row r="138">
      <c r="K138" s="203"/>
      <c r="L138" s="204"/>
    </row>
    <row r="139">
      <c r="K139" s="203"/>
      <c r="L139" s="204"/>
    </row>
    <row r="140">
      <c r="K140" s="203"/>
      <c r="L140" s="204"/>
    </row>
    <row r="141">
      <c r="K141" s="203"/>
      <c r="L141" s="204"/>
    </row>
    <row r="142">
      <c r="K142" s="203"/>
      <c r="L142" s="204"/>
    </row>
  </sheetData>
  <mergeCells count="3">
    <mergeCell ref="C20:E20"/>
    <mergeCell ref="C21:E21"/>
    <mergeCell ref="D27:G27"/>
  </mergeCells>
  <drawing r:id="rId1"/>
</worksheet>
</file>